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G:\Ana Beatriz\FELLOW\FINANÇAS PROJETO\1. REALOCAÇÃO BUDGET (10.2025)\"/>
    </mc:Choice>
  </mc:AlternateContent>
  <xr:revisionPtr revIDLastSave="0" documentId="13_ncr:1_{8114DCE6-6F1A-43CC-B8D0-2083DA20F2F6}" xr6:coauthVersionLast="47" xr6:coauthVersionMax="47" xr10:uidLastSave="{00000000-0000-0000-0000-000000000000}"/>
  <bookViews>
    <workbookView xWindow="28680" yWindow="-15" windowWidth="29040" windowHeight="15840" xr2:uid="{00000000-000D-0000-FFFF-FFFF00000000}"/>
  </bookViews>
  <sheets>
    <sheet name="Expenditures" sheetId="5" r:id="rId1"/>
    <sheet name="Equipment" sheetId="1" r:id="rId2"/>
    <sheet name="Instructions"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8" i="5" l="1"/>
  <c r="D28" i="5"/>
  <c r="B28" i="5"/>
  <c r="E27" i="5"/>
  <c r="G27" i="5" s="1"/>
  <c r="E20" i="5"/>
  <c r="F20" i="5" s="1"/>
  <c r="E17" i="5"/>
  <c r="G17" i="5" s="1"/>
  <c r="E22" i="5"/>
  <c r="G22" i="5" s="1"/>
  <c r="E26" i="5"/>
  <c r="F26" i="5" s="1"/>
  <c r="E25" i="5"/>
  <c r="G25" i="5" s="1"/>
  <c r="E24" i="5"/>
  <c r="F24" i="5" s="1"/>
  <c r="E23" i="5"/>
  <c r="E19" i="5"/>
  <c r="F19" i="5" s="1"/>
  <c r="E18" i="5"/>
  <c r="F18" i="5" s="1"/>
  <c r="E16" i="5"/>
  <c r="G16" i="5" s="1"/>
  <c r="E15" i="5"/>
  <c r="E28" i="5" l="1"/>
  <c r="G28" i="5" s="1"/>
  <c r="F27" i="5"/>
  <c r="G20" i="5"/>
  <c r="G19" i="5"/>
  <c r="G23" i="5"/>
  <c r="F17" i="5"/>
  <c r="F22" i="5"/>
  <c r="G18" i="5"/>
  <c r="F25" i="5"/>
  <c r="G26" i="5"/>
  <c r="F15" i="5"/>
  <c r="G24" i="5"/>
  <c r="G15" i="5"/>
  <c r="F23" i="5"/>
  <c r="F16" i="5"/>
  <c r="F28" i="5" l="1"/>
  <c r="D24" i="1"/>
  <c r="C24" i="1"/>
  <c r="B24" i="1"/>
  <c r="E20" i="1"/>
  <c r="G20" i="1" s="1"/>
  <c r="E19" i="1"/>
  <c r="G19" i="1" s="1"/>
  <c r="E18" i="1"/>
  <c r="G18" i="1" s="1"/>
  <c r="E17" i="1"/>
  <c r="G17" i="1" s="1"/>
  <c r="E16" i="1"/>
  <c r="G16" i="1" s="1"/>
  <c r="E15" i="1"/>
  <c r="E22" i="1"/>
  <c r="G22" i="1" s="1"/>
  <c r="E23" i="1"/>
  <c r="F23" i="1" s="1"/>
  <c r="E21" i="1"/>
  <c r="G21" i="1" s="1"/>
  <c r="F15" i="1" l="1"/>
  <c r="G15" i="1"/>
  <c r="F18" i="1"/>
  <c r="F19" i="1"/>
  <c r="F16" i="1"/>
  <c r="F17" i="1"/>
  <c r="F20" i="1"/>
  <c r="F22" i="1"/>
  <c r="G23" i="1"/>
  <c r="F21" i="1"/>
  <c r="F24" i="1" l="1"/>
  <c r="E24" i="1"/>
  <c r="G24" i="1" s="1"/>
</calcChain>
</file>

<file path=xl/sharedStrings.xml><?xml version="1.0" encoding="utf-8"?>
<sst xmlns="http://schemas.openxmlformats.org/spreadsheetml/2006/main" count="126" uniqueCount="79">
  <si>
    <t>REPORTING PERIOD:</t>
  </si>
  <si>
    <t>From (mm/dd/yy):</t>
  </si>
  <si>
    <t xml:space="preserve">To (mm/dd/yy): </t>
  </si>
  <si>
    <t>Column 2</t>
  </si>
  <si>
    <t>Column 1</t>
  </si>
  <si>
    <t>Column 3</t>
  </si>
  <si>
    <t>Column 4</t>
  </si>
  <si>
    <t>Column 5</t>
  </si>
  <si>
    <t>Total Program</t>
  </si>
  <si>
    <t>Date</t>
  </si>
  <si>
    <t xml:space="preserve">Budget line items as agreed </t>
  </si>
  <si>
    <t>To Approved Program</t>
  </si>
  <si>
    <t xml:space="preserve">Total </t>
  </si>
  <si>
    <t xml:space="preserve">Expenditures </t>
  </si>
  <si>
    <t xml:space="preserve">Balance </t>
  </si>
  <si>
    <t>Remaining</t>
  </si>
  <si>
    <t>% of Budget</t>
  </si>
  <si>
    <t>Certification:</t>
  </si>
  <si>
    <t>Total Budget and Expenditure</t>
  </si>
  <si>
    <t>Project Director - (Name &amp; Title)</t>
  </si>
  <si>
    <t>Chief Financial Officer - (Name &amp; Title)</t>
  </si>
  <si>
    <t>Project Director (Signature)</t>
  </si>
  <si>
    <t>Chief Financial Officer (Signature)</t>
  </si>
  <si>
    <t>EXPLANATORY NOTES</t>
  </si>
  <si>
    <t>1. Column 1: Approved Budget Line Items.  This column represents the approved budget categories (line items) for your approved budget proposal.  Line item changes (for example, additions and/or deletions) to the budget requires advanced approval by the BMS Foundation.</t>
  </si>
  <si>
    <t>FINANCIAL REPORT TO BRISTOL-MYERS SQUIBB FOUNDATION</t>
  </si>
  <si>
    <t>Instructions for Part A:</t>
  </si>
  <si>
    <t xml:space="preserve">3. Column 3:Total Prior Expenditures to date:  For the first reporting period ONLY, Column 3 should be left blank.  For subsequent financial reports, "Prior Total Expenditures to Date" should be equal to the "Total Expenditures to Date" (Column 5) of the prior financial report.  </t>
  </si>
  <si>
    <t>5. Column 5: Total Expenditures to date.  Enter actual expenditures to-date for each line item of the approved budget by adding Column 3 and Column 4 of this report.  For the first reporting period ONLY, Columns 3 and 4 should be the same.</t>
  </si>
  <si>
    <t>6. Column 6: Balance Remaining.  Calculate the remaining budget for each line item by subtracting Column 5 from Column 2.</t>
  </si>
  <si>
    <t>7. Column 7: Percentage of budget expended to date.  Calculate the percentage expended to date for each budget line item by dividing Column 5 by Column 2.</t>
  </si>
  <si>
    <t>2. Column 2: Approved Budget. This column represents the approved budget amounts based on the TOTAL program budget, NOT the funds you received.</t>
  </si>
  <si>
    <t xml:space="preserve">4. Column 4: Expenditures in the reporting  period.  Enter the amount spent for each line item of the approved budget during this reporting period.  Include only those expenses that have been paid. </t>
  </si>
  <si>
    <r>
      <t>NOTE:</t>
    </r>
    <r>
      <rPr>
        <sz val="10"/>
        <rFont val="Arial"/>
        <family val="2"/>
      </rPr>
      <t xml:space="preserve"> Amounts over budget - A budget line item should not be exceeded without the prior approval of the BMS Foundation.  Where an overrun is anticipated, the Project Director should seek approval in writing from the BMS Foundation in advance.</t>
    </r>
  </si>
  <si>
    <t>Column 6</t>
  </si>
  <si>
    <t>Column 7</t>
  </si>
  <si>
    <t xml:space="preserve">               Expenditures</t>
  </si>
  <si>
    <t>Prior Total</t>
  </si>
  <si>
    <t>Expenditures</t>
  </si>
  <si>
    <t>Expenditures To</t>
  </si>
  <si>
    <t>This Period</t>
  </si>
  <si>
    <t>expended to date</t>
  </si>
  <si>
    <t>To Date</t>
  </si>
  <si>
    <t>(column 2 - 5)</t>
  </si>
  <si>
    <t>(column 5 / 2)</t>
  </si>
  <si>
    <t xml:space="preserve">GRANTEE:  </t>
  </si>
  <si>
    <t>PROGRAM:</t>
  </si>
  <si>
    <t>exclusively as a non-profit/non-governmental organization with no material changes in its organization or operation.</t>
  </si>
  <si>
    <t xml:space="preserve">I hereby certify the above financial report to be correct. I further certify that this organization/project continues to conduct its operations </t>
  </si>
  <si>
    <t>Budget  (R$)</t>
  </si>
  <si>
    <t>INFRASTRUCTURE AND EQUIPMENT</t>
  </si>
  <si>
    <t>Computers (Desktop with webcam, microphone and telemedicine software)</t>
  </si>
  <si>
    <t>Tablets (Portable devices with internet access)</t>
  </si>
  <si>
    <t>Mobile Internet (Starlink) - Satellite connection kits for mobile units and remote areas</t>
  </si>
  <si>
    <t>Integrated Electronic Medical Record - System with telemedicine and telemonitoring features</t>
  </si>
  <si>
    <t>Scheduling and Reminder Software - Platform for online scheduling and sending automated reminders</t>
  </si>
  <si>
    <t>Telemonitoring Devices - Oximeters. Blood pressure monitors with data transmission capability</t>
  </si>
  <si>
    <t>Team Training - Courses and workshops on digital health, telemedicine and intercultural communication</t>
  </si>
  <si>
    <t>Digital Education Materials - Brochures, tutorial videos and other resources for patients and communities</t>
  </si>
  <si>
    <t>Technical Support and Maintenance</t>
  </si>
  <si>
    <t xml:space="preserve">Fundação Pio XII </t>
  </si>
  <si>
    <t>Medical and Nursing Advancement Program in Oncology Focused</t>
  </si>
  <si>
    <t>on Culturally Sensitive Care to Improve Health Outcomes</t>
  </si>
  <si>
    <t>Medical resident grant</t>
  </si>
  <si>
    <t>Nursing resident grant</t>
  </si>
  <si>
    <t>Resident support fee</t>
  </si>
  <si>
    <t>Operational fees (PG Lato Sensu/COREME)</t>
  </si>
  <si>
    <t>Administrative assistant salary</t>
  </si>
  <si>
    <t>Project coordinator salary</t>
  </si>
  <si>
    <t>Audiovisual salary</t>
  </si>
  <si>
    <t>Transportation/operational reserve - External internships</t>
  </si>
  <si>
    <t>Advertising fees (Marketing/press)</t>
  </si>
  <si>
    <t>Scientific and cultural events fee (Harena)</t>
  </si>
  <si>
    <t>Nurse salary</t>
  </si>
  <si>
    <t>PERSONNEL</t>
  </si>
  <si>
    <t>DIRECT COSTS</t>
  </si>
  <si>
    <t>Infrastructure and equipement</t>
  </si>
  <si>
    <t xml:space="preserve">Note: </t>
  </si>
  <si>
    <t>There were no expenses during the period covered by the expense report, since the professionals who joined only started receiving remuneration from December 2025 onwards.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</si>
</sst>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d\-mmm\-yyyy"/>
    <numFmt numFmtId="166" formatCode="[$-409]mmmm\ d\,\ yyyy;@"/>
  </numFmts>
  <fonts count="10" x14ac:knownFonts="1">
    <font>
      <sz val="10"/>
      <name val="Arial"/>
    </font>
    <font>
      <sz val="10"/>
      <name val="Arial"/>
      <family val="2"/>
    </font>
    <font>
      <b/>
      <sz val="10"/>
      <name val="Arial"/>
      <family val="2"/>
    </font>
    <font>
      <sz val="12"/>
      <name val="Calibri"/>
      <family val="2"/>
      <scheme val="minor"/>
    </font>
    <font>
      <b/>
      <sz val="12"/>
      <name val="Calibri"/>
      <family val="2"/>
      <scheme val="minor"/>
    </font>
    <font>
      <u val="singleAccounting"/>
      <sz val="12"/>
      <name val="Calibri"/>
      <family val="2"/>
      <scheme val="minor"/>
    </font>
    <font>
      <b/>
      <sz val="12"/>
      <name val="Calibri"/>
      <family val="2"/>
    </font>
    <font>
      <sz val="12"/>
      <color theme="1"/>
      <name val="Calibri"/>
      <family val="2"/>
    </font>
    <font>
      <b/>
      <sz val="12"/>
      <name val="Arial"/>
      <family val="2"/>
    </font>
    <font>
      <b/>
      <sz val="12"/>
      <color theme="1"/>
      <name val="Calibri"/>
      <family val="2"/>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s>
  <cellStyleXfs count="2">
    <xf numFmtId="0" fontId="0" fillId="0" borderId="0"/>
    <xf numFmtId="164" fontId="1" fillId="0" borderId="0" applyFont="0" applyFill="0" applyBorder="0" applyAlignment="0" applyProtection="0"/>
  </cellStyleXfs>
  <cellXfs count="29">
    <xf numFmtId="0" fontId="0" fillId="0" borderId="0" xfId="0"/>
    <xf numFmtId="0" fontId="0" fillId="0" borderId="5" xfId="0" applyBorder="1"/>
    <xf numFmtId="0" fontId="2" fillId="0" borderId="6" xfId="0" applyFont="1" applyBorder="1"/>
    <xf numFmtId="0" fontId="0" fillId="0" borderId="6" xfId="0" applyBorder="1"/>
    <xf numFmtId="0" fontId="0" fillId="0" borderId="6" xfId="0" applyBorder="1" applyAlignment="1">
      <alignment wrapText="1"/>
    </xf>
    <xf numFmtId="0" fontId="2" fillId="0" borderId="7" xfId="0" applyFont="1" applyBorder="1" applyAlignment="1">
      <alignment wrapText="1"/>
    </xf>
    <xf numFmtId="0" fontId="3" fillId="0" borderId="0" xfId="0" applyFont="1"/>
    <xf numFmtId="0" fontId="3" fillId="0" borderId="3" xfId="0" applyFont="1" applyBorder="1"/>
    <xf numFmtId="3" fontId="3" fillId="0" borderId="0" xfId="0" applyNumberFormat="1" applyFont="1"/>
    <xf numFmtId="0" fontId="4" fillId="0" borderId="0" xfId="0" applyFont="1"/>
    <xf numFmtId="0" fontId="4" fillId="0" borderId="0" xfId="0" applyFont="1" applyAlignment="1">
      <alignment horizontal="center"/>
    </xf>
    <xf numFmtId="166" fontId="3" fillId="0" borderId="0" xfId="0" applyNumberFormat="1" applyFont="1"/>
    <xf numFmtId="165" fontId="3" fillId="0" borderId="0" xfId="0" applyNumberFormat="1" applyFont="1"/>
    <xf numFmtId="0" fontId="4" fillId="0" borderId="1" xfId="0" applyFont="1" applyBorder="1" applyAlignment="1">
      <alignment horizontal="center"/>
    </xf>
    <xf numFmtId="0" fontId="4" fillId="0" borderId="1" xfId="0" applyFont="1" applyBorder="1"/>
    <xf numFmtId="0" fontId="4" fillId="0" borderId="2" xfId="0" applyFont="1" applyBorder="1"/>
    <xf numFmtId="0" fontId="4" fillId="0" borderId="2" xfId="0" applyFont="1" applyBorder="1" applyAlignment="1">
      <alignment horizontal="center"/>
    </xf>
    <xf numFmtId="0" fontId="4" fillId="0" borderId="4" xfId="0" applyFont="1" applyBorder="1"/>
    <xf numFmtId="0" fontId="4" fillId="0" borderId="4" xfId="0" applyFont="1" applyBorder="1" applyAlignment="1">
      <alignment horizontal="center"/>
    </xf>
    <xf numFmtId="4" fontId="3" fillId="0" borderId="1" xfId="0" applyNumberFormat="1" applyFont="1" applyBorder="1"/>
    <xf numFmtId="164" fontId="3" fillId="0" borderId="1" xfId="1" applyFont="1" applyBorder="1"/>
    <xf numFmtId="164" fontId="5" fillId="0" borderId="1" xfId="1" applyFont="1" applyBorder="1"/>
    <xf numFmtId="4" fontId="5" fillId="0" borderId="1" xfId="0" applyNumberFormat="1" applyFont="1" applyBorder="1"/>
    <xf numFmtId="164" fontId="3" fillId="0" borderId="1" xfId="0" applyNumberFormat="1" applyFont="1" applyBorder="1"/>
    <xf numFmtId="0" fontId="6" fillId="0" borderId="1" xfId="0" applyFont="1" applyBorder="1"/>
    <xf numFmtId="0" fontId="7" fillId="0" borderId="1" xfId="0" applyFont="1" applyBorder="1" applyAlignment="1">
      <alignment horizontal="left" vertical="center" wrapText="1" indent="1"/>
    </xf>
    <xf numFmtId="0" fontId="8" fillId="0" borderId="0" xfId="0" applyFont="1"/>
    <xf numFmtId="0" fontId="7" fillId="0" borderId="1" xfId="0" applyFont="1" applyBorder="1" applyAlignment="1">
      <alignment vertical="center" wrapText="1"/>
    </xf>
    <xf numFmtId="0" fontId="9" fillId="0" borderId="1" xfId="0" applyFont="1" applyBorder="1" applyAlignment="1">
      <alignment vertical="center" wrapText="1"/>
    </xf>
  </cellXfs>
  <cellStyles count="2">
    <cellStyle name="Normal" xfId="0" builtinId="0"/>
    <cellStyle name="Vírgula" xfId="1" builtin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0D06E-BAEA-4872-8D4C-688FE5C174F8}">
  <sheetPr>
    <pageSetUpPr fitToPage="1"/>
  </sheetPr>
  <dimension ref="A1:G47"/>
  <sheetViews>
    <sheetView tabSelected="1" topLeftCell="A25" workbookViewId="0">
      <selection activeCell="E50" sqref="E50"/>
    </sheetView>
  </sheetViews>
  <sheetFormatPr defaultColWidth="9.140625" defaultRowHeight="15.75" x14ac:dyDescent="0.25"/>
  <cols>
    <col min="1" max="1" width="53" style="6" customWidth="1"/>
    <col min="2" max="2" width="19.7109375" style="6" customWidth="1"/>
    <col min="3" max="3" width="16.7109375" style="6" customWidth="1"/>
    <col min="4" max="4" width="17.140625" style="6" customWidth="1"/>
    <col min="5" max="5" width="18.140625" style="6" customWidth="1"/>
    <col min="6" max="6" width="19.7109375" style="6" bestFit="1" customWidth="1"/>
    <col min="7" max="7" width="19.85546875" style="6" customWidth="1"/>
    <col min="8" max="16384" width="9.140625" style="6"/>
  </cols>
  <sheetData>
    <row r="1" spans="1:7" x14ac:dyDescent="0.25">
      <c r="B1" s="9" t="s">
        <v>25</v>
      </c>
      <c r="E1" s="10"/>
    </row>
    <row r="3" spans="1:7" x14ac:dyDescent="0.25">
      <c r="A3" s="9" t="s">
        <v>45</v>
      </c>
      <c r="B3" s="26" t="s">
        <v>60</v>
      </c>
      <c r="F3" s="9" t="s">
        <v>0</v>
      </c>
    </row>
    <row r="4" spans="1:7" ht="40.5" customHeight="1" x14ac:dyDescent="0.25">
      <c r="A4" s="9" t="s">
        <v>46</v>
      </c>
      <c r="B4" s="9" t="s">
        <v>61</v>
      </c>
      <c r="F4" s="9" t="s">
        <v>1</v>
      </c>
      <c r="G4" s="11">
        <v>45778</v>
      </c>
    </row>
    <row r="5" spans="1:7" x14ac:dyDescent="0.25">
      <c r="B5" s="9" t="s">
        <v>62</v>
      </c>
      <c r="G5" s="11"/>
    </row>
    <row r="6" spans="1:7" x14ac:dyDescent="0.25">
      <c r="B6" s="9"/>
      <c r="G6" s="11"/>
    </row>
    <row r="7" spans="1:7" x14ac:dyDescent="0.25">
      <c r="F7" s="9" t="s">
        <v>2</v>
      </c>
      <c r="G7" s="11">
        <v>45991</v>
      </c>
    </row>
    <row r="8" spans="1:7" x14ac:dyDescent="0.25">
      <c r="E8" s="9"/>
      <c r="F8" s="12"/>
    </row>
    <row r="9" spans="1:7" x14ac:dyDescent="0.25">
      <c r="A9" s="13" t="s">
        <v>4</v>
      </c>
      <c r="B9" s="13" t="s">
        <v>3</v>
      </c>
      <c r="C9" s="13" t="s">
        <v>5</v>
      </c>
      <c r="D9" s="13" t="s">
        <v>6</v>
      </c>
      <c r="E9" s="13" t="s">
        <v>7</v>
      </c>
      <c r="F9" s="13" t="s">
        <v>34</v>
      </c>
      <c r="G9" s="13" t="s">
        <v>35</v>
      </c>
    </row>
    <row r="10" spans="1:7" x14ac:dyDescent="0.25">
      <c r="A10" s="14"/>
      <c r="B10" s="14"/>
      <c r="C10" s="14"/>
      <c r="D10" s="14" t="s">
        <v>36</v>
      </c>
      <c r="E10" s="14"/>
      <c r="F10" s="14"/>
      <c r="G10" s="14"/>
    </row>
    <row r="11" spans="1:7" x14ac:dyDescent="0.25">
      <c r="A11" s="15" t="s">
        <v>10</v>
      </c>
      <c r="B11" s="16" t="s">
        <v>8</v>
      </c>
      <c r="C11" s="16" t="s">
        <v>37</v>
      </c>
      <c r="D11" s="16" t="s">
        <v>38</v>
      </c>
      <c r="E11" s="16" t="s">
        <v>12</v>
      </c>
      <c r="F11" s="16" t="s">
        <v>14</v>
      </c>
      <c r="G11" s="16" t="s">
        <v>16</v>
      </c>
    </row>
    <row r="12" spans="1:7" x14ac:dyDescent="0.25">
      <c r="A12" s="15" t="s">
        <v>11</v>
      </c>
      <c r="B12" s="16" t="s">
        <v>49</v>
      </c>
      <c r="C12" s="16" t="s">
        <v>39</v>
      </c>
      <c r="D12" s="16" t="s">
        <v>40</v>
      </c>
      <c r="E12" s="16" t="s">
        <v>13</v>
      </c>
      <c r="F12" s="16" t="s">
        <v>15</v>
      </c>
      <c r="G12" s="16" t="s">
        <v>41</v>
      </c>
    </row>
    <row r="13" spans="1:7" x14ac:dyDescent="0.25">
      <c r="A13" s="17"/>
      <c r="B13" s="18"/>
      <c r="C13" s="18" t="s">
        <v>9</v>
      </c>
      <c r="D13" s="18"/>
      <c r="E13" s="18" t="s">
        <v>42</v>
      </c>
      <c r="F13" s="18" t="s">
        <v>43</v>
      </c>
      <c r="G13" s="18" t="s">
        <v>44</v>
      </c>
    </row>
    <row r="14" spans="1:7" x14ac:dyDescent="0.25">
      <c r="A14" s="17" t="s">
        <v>74</v>
      </c>
      <c r="B14" s="18"/>
      <c r="C14" s="18"/>
      <c r="D14" s="18"/>
      <c r="E14" s="18"/>
      <c r="F14" s="18"/>
      <c r="G14" s="18"/>
    </row>
    <row r="15" spans="1:7" x14ac:dyDescent="0.25">
      <c r="A15" s="27" t="s">
        <v>63</v>
      </c>
      <c r="B15" s="20">
        <v>768000</v>
      </c>
      <c r="C15" s="19">
        <v>0</v>
      </c>
      <c r="D15" s="19">
        <v>0</v>
      </c>
      <c r="E15" s="19">
        <f t="shared" ref="E15:E27" si="0">+C15+D15</f>
        <v>0</v>
      </c>
      <c r="F15" s="19">
        <f t="shared" ref="F15:F27" si="1">+B15-E15</f>
        <v>768000</v>
      </c>
      <c r="G15" s="19">
        <f t="shared" ref="G15:G28" si="2">E15/B15*100</f>
        <v>0</v>
      </c>
    </row>
    <row r="16" spans="1:7" x14ac:dyDescent="0.25">
      <c r="A16" s="27" t="s">
        <v>64</v>
      </c>
      <c r="B16" s="20">
        <v>360000</v>
      </c>
      <c r="C16" s="19">
        <v>0</v>
      </c>
      <c r="D16" s="19">
        <v>0</v>
      </c>
      <c r="E16" s="19">
        <f t="shared" si="0"/>
        <v>0</v>
      </c>
      <c r="F16" s="19">
        <f t="shared" si="1"/>
        <v>360000</v>
      </c>
      <c r="G16" s="19">
        <f t="shared" si="2"/>
        <v>0</v>
      </c>
    </row>
    <row r="17" spans="1:7" x14ac:dyDescent="0.25">
      <c r="A17" s="27" t="s">
        <v>67</v>
      </c>
      <c r="B17" s="20">
        <v>39746</v>
      </c>
      <c r="C17" s="19">
        <v>0</v>
      </c>
      <c r="D17" s="19">
        <v>0</v>
      </c>
      <c r="E17" s="19">
        <f>+C17+D17</f>
        <v>0</v>
      </c>
      <c r="F17" s="19">
        <f>+B17-E17</f>
        <v>39746</v>
      </c>
      <c r="G17" s="19">
        <f>E17/B17*100</f>
        <v>0</v>
      </c>
    </row>
    <row r="18" spans="1:7" x14ac:dyDescent="0.25">
      <c r="A18" s="27" t="s">
        <v>68</v>
      </c>
      <c r="B18" s="20">
        <v>96000</v>
      </c>
      <c r="C18" s="19">
        <v>0</v>
      </c>
      <c r="D18" s="19">
        <v>0</v>
      </c>
      <c r="E18" s="19">
        <f>+C18+D18</f>
        <v>0</v>
      </c>
      <c r="F18" s="19">
        <f>+B18-E18</f>
        <v>96000</v>
      </c>
      <c r="G18" s="19">
        <f>E18/B18*100</f>
        <v>0</v>
      </c>
    </row>
    <row r="19" spans="1:7" x14ac:dyDescent="0.25">
      <c r="A19" s="27" t="s">
        <v>69</v>
      </c>
      <c r="B19" s="20">
        <v>71579</v>
      </c>
      <c r="C19" s="19">
        <v>0</v>
      </c>
      <c r="D19" s="19">
        <v>0</v>
      </c>
      <c r="E19" s="19">
        <f>+C19+D19</f>
        <v>0</v>
      </c>
      <c r="F19" s="19">
        <f>+B19-E19</f>
        <v>71579</v>
      </c>
      <c r="G19" s="19">
        <f>E19/B19*100</f>
        <v>0</v>
      </c>
    </row>
    <row r="20" spans="1:7" x14ac:dyDescent="0.25">
      <c r="A20" s="27" t="s">
        <v>73</v>
      </c>
      <c r="B20" s="20">
        <v>89661</v>
      </c>
      <c r="C20" s="19">
        <v>0</v>
      </c>
      <c r="D20" s="19">
        <v>0</v>
      </c>
      <c r="E20" s="19">
        <f>+C20+D20</f>
        <v>0</v>
      </c>
      <c r="F20" s="19">
        <f>+B20-E20</f>
        <v>89661</v>
      </c>
      <c r="G20" s="19">
        <f>E20/B20*100</f>
        <v>0</v>
      </c>
    </row>
    <row r="21" spans="1:7" x14ac:dyDescent="0.25">
      <c r="A21" s="28" t="s">
        <v>75</v>
      </c>
      <c r="B21" s="20"/>
      <c r="C21" s="19"/>
      <c r="D21" s="19"/>
      <c r="E21" s="19"/>
      <c r="F21" s="19"/>
      <c r="G21" s="19"/>
    </row>
    <row r="22" spans="1:7" x14ac:dyDescent="0.25">
      <c r="A22" s="27" t="s">
        <v>66</v>
      </c>
      <c r="B22" s="20">
        <v>20000</v>
      </c>
      <c r="C22" s="19">
        <v>0</v>
      </c>
      <c r="D22" s="19">
        <v>0</v>
      </c>
      <c r="E22" s="19">
        <f>+C22+D22</f>
        <v>0</v>
      </c>
      <c r="F22" s="19">
        <f>+B22-E22</f>
        <v>20000</v>
      </c>
      <c r="G22" s="19">
        <f>E22/B22*100</f>
        <v>0</v>
      </c>
    </row>
    <row r="23" spans="1:7" x14ac:dyDescent="0.25">
      <c r="A23" s="27" t="s">
        <v>76</v>
      </c>
      <c r="B23" s="20">
        <v>324054</v>
      </c>
      <c r="C23" s="19">
        <v>0</v>
      </c>
      <c r="D23" s="19">
        <v>0</v>
      </c>
      <c r="E23" s="19">
        <f t="shared" si="0"/>
        <v>0</v>
      </c>
      <c r="F23" s="19">
        <f t="shared" si="1"/>
        <v>324054</v>
      </c>
      <c r="G23" s="19">
        <f t="shared" si="2"/>
        <v>0</v>
      </c>
    </row>
    <row r="24" spans="1:7" ht="31.5" x14ac:dyDescent="0.25">
      <c r="A24" s="27" t="s">
        <v>70</v>
      </c>
      <c r="B24" s="20">
        <v>200000</v>
      </c>
      <c r="C24" s="19">
        <v>0</v>
      </c>
      <c r="D24" s="19">
        <v>0</v>
      </c>
      <c r="E24" s="19">
        <f t="shared" si="0"/>
        <v>0</v>
      </c>
      <c r="F24" s="19">
        <f t="shared" si="1"/>
        <v>200000</v>
      </c>
      <c r="G24" s="19">
        <f t="shared" si="2"/>
        <v>0</v>
      </c>
    </row>
    <row r="25" spans="1:7" x14ac:dyDescent="0.25">
      <c r="A25" s="27" t="s">
        <v>71</v>
      </c>
      <c r="B25" s="20">
        <v>75000</v>
      </c>
      <c r="C25" s="19">
        <v>0</v>
      </c>
      <c r="D25" s="19">
        <v>0</v>
      </c>
      <c r="E25" s="19">
        <f t="shared" si="0"/>
        <v>0</v>
      </c>
      <c r="F25" s="19">
        <f t="shared" si="1"/>
        <v>75000</v>
      </c>
      <c r="G25" s="19">
        <f t="shared" si="2"/>
        <v>0</v>
      </c>
    </row>
    <row r="26" spans="1:7" x14ac:dyDescent="0.25">
      <c r="A26" s="27" t="s">
        <v>72</v>
      </c>
      <c r="B26" s="20">
        <v>100000</v>
      </c>
      <c r="C26" s="19">
        <v>0</v>
      </c>
      <c r="D26" s="19">
        <v>0</v>
      </c>
      <c r="E26" s="19">
        <f t="shared" si="0"/>
        <v>0</v>
      </c>
      <c r="F26" s="19">
        <f t="shared" si="1"/>
        <v>100000</v>
      </c>
      <c r="G26" s="19">
        <f t="shared" si="2"/>
        <v>0</v>
      </c>
    </row>
    <row r="27" spans="1:7" ht="18" x14ac:dyDescent="0.4">
      <c r="A27" s="27" t="s">
        <v>65</v>
      </c>
      <c r="B27" s="21">
        <v>250000</v>
      </c>
      <c r="C27" s="22">
        <v>0</v>
      </c>
      <c r="D27" s="22">
        <v>0</v>
      </c>
      <c r="E27" s="22">
        <f t="shared" si="0"/>
        <v>0</v>
      </c>
      <c r="F27" s="22">
        <f t="shared" si="1"/>
        <v>250000</v>
      </c>
      <c r="G27" s="19">
        <f t="shared" si="2"/>
        <v>0</v>
      </c>
    </row>
    <row r="28" spans="1:7" ht="21" customHeight="1" x14ac:dyDescent="0.25">
      <c r="A28" s="24" t="s">
        <v>18</v>
      </c>
      <c r="B28" s="23">
        <f>SUM(B15:B27)</f>
        <v>2394040</v>
      </c>
      <c r="C28" s="23">
        <f>SUM(C15:C27)</f>
        <v>0</v>
      </c>
      <c r="D28" s="23">
        <f>SUM(D15:D27)</f>
        <v>0</v>
      </c>
      <c r="E28" s="23">
        <f>SUM(E15:E27)</f>
        <v>0</v>
      </c>
      <c r="F28" s="23">
        <f>SUM(F15:F27)</f>
        <v>2394040</v>
      </c>
      <c r="G28" s="19">
        <f t="shared" si="2"/>
        <v>0</v>
      </c>
    </row>
    <row r="29" spans="1:7" x14ac:dyDescent="0.25">
      <c r="A29" s="9" t="s">
        <v>17</v>
      </c>
    </row>
    <row r="30" spans="1:7" x14ac:dyDescent="0.25">
      <c r="A30" s="6" t="s">
        <v>48</v>
      </c>
      <c r="B30" s="8"/>
    </row>
    <row r="31" spans="1:7" x14ac:dyDescent="0.25">
      <c r="A31" s="6" t="s">
        <v>47</v>
      </c>
      <c r="B31" s="8"/>
    </row>
    <row r="32" spans="1:7" x14ac:dyDescent="0.25">
      <c r="B32" s="8"/>
    </row>
    <row r="33" spans="1:6" x14ac:dyDescent="0.25">
      <c r="A33" s="9" t="s">
        <v>77</v>
      </c>
      <c r="B33" s="8"/>
    </row>
    <row r="34" spans="1:6" x14ac:dyDescent="0.25">
      <c r="A34" s="6" t="s">
        <v>78</v>
      </c>
      <c r="B34" s="8"/>
    </row>
    <row r="35" spans="1:6" x14ac:dyDescent="0.25">
      <c r="B35" s="8"/>
    </row>
    <row r="36" spans="1:6" x14ac:dyDescent="0.25">
      <c r="B36" s="8"/>
    </row>
    <row r="37" spans="1:6" x14ac:dyDescent="0.25">
      <c r="B37" s="8"/>
    </row>
    <row r="38" spans="1:6" x14ac:dyDescent="0.25">
      <c r="A38" s="7"/>
      <c r="B38" s="8"/>
      <c r="C38" s="7"/>
      <c r="D38" s="7"/>
      <c r="F38" s="7"/>
    </row>
    <row r="39" spans="1:6" x14ac:dyDescent="0.25">
      <c r="A39" s="6" t="s">
        <v>20</v>
      </c>
      <c r="C39" s="6" t="s">
        <v>22</v>
      </c>
      <c r="F39" s="6" t="s">
        <v>9</v>
      </c>
    </row>
    <row r="43" spans="1:6" x14ac:dyDescent="0.25">
      <c r="A43" s="7"/>
      <c r="B43" s="8"/>
      <c r="C43" s="7"/>
      <c r="D43" s="7"/>
      <c r="F43" s="7"/>
    </row>
    <row r="44" spans="1:6" x14ac:dyDescent="0.25">
      <c r="A44" s="6" t="s">
        <v>19</v>
      </c>
      <c r="B44" s="8"/>
      <c r="C44" s="6" t="s">
        <v>21</v>
      </c>
      <c r="F44" s="6" t="s">
        <v>9</v>
      </c>
    </row>
    <row r="45" spans="1:6" ht="12.75" customHeight="1" x14ac:dyDescent="0.25"/>
    <row r="46" spans="1:6" ht="12.75" customHeight="1" x14ac:dyDescent="0.25"/>
    <row r="47" spans="1:6" ht="12.75" customHeight="1" x14ac:dyDescent="0.25"/>
  </sheetData>
  <pageMargins left="0.7" right="0.7" top="0.75" bottom="0.75" header="0.3" footer="0.3"/>
  <pageSetup paperSize="9" scale="54" fitToHeight="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38"/>
  <sheetViews>
    <sheetView topLeftCell="A18" workbookViewId="0">
      <selection sqref="A1:XFD1048576"/>
    </sheetView>
  </sheetViews>
  <sheetFormatPr defaultColWidth="9.140625" defaultRowHeight="15.75" x14ac:dyDescent="0.25"/>
  <cols>
    <col min="1" max="1" width="60.85546875" style="6" customWidth="1"/>
    <col min="2" max="2" width="19.7109375" style="6" customWidth="1"/>
    <col min="3" max="3" width="16.7109375" style="6" customWidth="1"/>
    <col min="4" max="4" width="17.140625" style="6" customWidth="1"/>
    <col min="5" max="5" width="20" style="6" customWidth="1"/>
    <col min="6" max="6" width="19.7109375" style="6" bestFit="1" customWidth="1"/>
    <col min="7" max="7" width="19.85546875" style="6" customWidth="1"/>
    <col min="8" max="16384" width="9.140625" style="6"/>
  </cols>
  <sheetData>
    <row r="1" spans="1:7" x14ac:dyDescent="0.25">
      <c r="B1" s="9" t="s">
        <v>25</v>
      </c>
      <c r="E1" s="10"/>
    </row>
    <row r="3" spans="1:7" x14ac:dyDescent="0.25">
      <c r="A3" s="9" t="s">
        <v>45</v>
      </c>
      <c r="B3" s="26" t="s">
        <v>60</v>
      </c>
      <c r="F3" s="9" t="s">
        <v>0</v>
      </c>
    </row>
    <row r="4" spans="1:7" ht="40.5" customHeight="1" x14ac:dyDescent="0.25">
      <c r="A4" s="9" t="s">
        <v>46</v>
      </c>
      <c r="B4" s="9" t="s">
        <v>61</v>
      </c>
      <c r="F4" s="9" t="s">
        <v>1</v>
      </c>
      <c r="G4" s="11">
        <v>45778</v>
      </c>
    </row>
    <row r="5" spans="1:7" x14ac:dyDescent="0.25">
      <c r="B5" s="9" t="s">
        <v>62</v>
      </c>
      <c r="G5" s="11"/>
    </row>
    <row r="6" spans="1:7" x14ac:dyDescent="0.25">
      <c r="B6" s="9"/>
      <c r="G6" s="11"/>
    </row>
    <row r="7" spans="1:7" x14ac:dyDescent="0.25">
      <c r="F7" s="9" t="s">
        <v>2</v>
      </c>
      <c r="G7" s="11">
        <v>45991</v>
      </c>
    </row>
    <row r="8" spans="1:7" x14ac:dyDescent="0.25">
      <c r="E8" s="9"/>
      <c r="F8" s="12"/>
    </row>
    <row r="9" spans="1:7" x14ac:dyDescent="0.25">
      <c r="A9" s="13" t="s">
        <v>4</v>
      </c>
      <c r="B9" s="13" t="s">
        <v>3</v>
      </c>
      <c r="C9" s="13" t="s">
        <v>5</v>
      </c>
      <c r="D9" s="13" t="s">
        <v>6</v>
      </c>
      <c r="E9" s="13" t="s">
        <v>7</v>
      </c>
      <c r="F9" s="13" t="s">
        <v>34</v>
      </c>
      <c r="G9" s="13" t="s">
        <v>35</v>
      </c>
    </row>
    <row r="10" spans="1:7" x14ac:dyDescent="0.25">
      <c r="A10" s="14"/>
      <c r="B10" s="14"/>
      <c r="C10" s="14"/>
      <c r="D10" s="14" t="s">
        <v>36</v>
      </c>
      <c r="E10" s="14"/>
      <c r="F10" s="14"/>
      <c r="G10" s="14"/>
    </row>
    <row r="11" spans="1:7" x14ac:dyDescent="0.25">
      <c r="A11" s="15" t="s">
        <v>10</v>
      </c>
      <c r="B11" s="16" t="s">
        <v>8</v>
      </c>
      <c r="C11" s="16" t="s">
        <v>37</v>
      </c>
      <c r="D11" s="16" t="s">
        <v>38</v>
      </c>
      <c r="E11" s="16" t="s">
        <v>12</v>
      </c>
      <c r="F11" s="16" t="s">
        <v>14</v>
      </c>
      <c r="G11" s="16" t="s">
        <v>16</v>
      </c>
    </row>
    <row r="12" spans="1:7" x14ac:dyDescent="0.25">
      <c r="A12" s="15" t="s">
        <v>11</v>
      </c>
      <c r="B12" s="16" t="s">
        <v>49</v>
      </c>
      <c r="C12" s="16" t="s">
        <v>39</v>
      </c>
      <c r="D12" s="16" t="s">
        <v>40</v>
      </c>
      <c r="E12" s="16" t="s">
        <v>13</v>
      </c>
      <c r="F12" s="16" t="s">
        <v>15</v>
      </c>
      <c r="G12" s="16" t="s">
        <v>41</v>
      </c>
    </row>
    <row r="13" spans="1:7" x14ac:dyDescent="0.25">
      <c r="A13" s="17"/>
      <c r="B13" s="18"/>
      <c r="C13" s="18" t="s">
        <v>9</v>
      </c>
      <c r="D13" s="18"/>
      <c r="E13" s="18" t="s">
        <v>42</v>
      </c>
      <c r="F13" s="18" t="s">
        <v>43</v>
      </c>
      <c r="G13" s="18" t="s">
        <v>44</v>
      </c>
    </row>
    <row r="14" spans="1:7" x14ac:dyDescent="0.25">
      <c r="A14" s="17" t="s">
        <v>50</v>
      </c>
      <c r="B14" s="18"/>
      <c r="C14" s="18"/>
      <c r="D14" s="18"/>
      <c r="E14" s="18"/>
      <c r="F14" s="18"/>
      <c r="G14" s="18"/>
    </row>
    <row r="15" spans="1:7" ht="31.5" x14ac:dyDescent="0.25">
      <c r="A15" s="25" t="s">
        <v>51</v>
      </c>
      <c r="B15" s="20">
        <v>50000</v>
      </c>
      <c r="C15" s="19"/>
      <c r="D15" s="19">
        <v>0</v>
      </c>
      <c r="E15" s="19">
        <f t="shared" ref="E15:E17" si="0">+C15+D15</f>
        <v>0</v>
      </c>
      <c r="F15" s="19">
        <f t="shared" ref="F15:F17" si="1">+B15-E15</f>
        <v>50000</v>
      </c>
      <c r="G15" s="19">
        <f t="shared" ref="G15:G17" si="2">E15/B15*100</f>
        <v>0</v>
      </c>
    </row>
    <row r="16" spans="1:7" x14ac:dyDescent="0.25">
      <c r="A16" s="25" t="s">
        <v>52</v>
      </c>
      <c r="B16" s="20">
        <v>30000</v>
      </c>
      <c r="C16" s="19"/>
      <c r="D16" s="19">
        <v>0</v>
      </c>
      <c r="E16" s="19">
        <f t="shared" si="0"/>
        <v>0</v>
      </c>
      <c r="F16" s="19">
        <f t="shared" si="1"/>
        <v>30000</v>
      </c>
      <c r="G16" s="19">
        <f t="shared" si="2"/>
        <v>0</v>
      </c>
    </row>
    <row r="17" spans="1:7" ht="31.5" x14ac:dyDescent="0.25">
      <c r="A17" s="25" t="s">
        <v>53</v>
      </c>
      <c r="B17" s="20">
        <v>40000</v>
      </c>
      <c r="C17" s="19"/>
      <c r="D17" s="19">
        <v>0</v>
      </c>
      <c r="E17" s="19">
        <f t="shared" si="0"/>
        <v>0</v>
      </c>
      <c r="F17" s="19">
        <f t="shared" si="1"/>
        <v>40000</v>
      </c>
      <c r="G17" s="19">
        <f t="shared" si="2"/>
        <v>0</v>
      </c>
    </row>
    <row r="18" spans="1:7" ht="31.5" x14ac:dyDescent="0.25">
      <c r="A18" s="25" t="s">
        <v>54</v>
      </c>
      <c r="B18" s="20">
        <v>50000</v>
      </c>
      <c r="C18" s="19"/>
      <c r="D18" s="19">
        <v>0</v>
      </c>
      <c r="E18" s="19">
        <f t="shared" ref="E18:E20" si="3">+C18+D18</f>
        <v>0</v>
      </c>
      <c r="F18" s="19">
        <f t="shared" ref="F18:F20" si="4">+B18-E18</f>
        <v>50000</v>
      </c>
      <c r="G18" s="19">
        <f t="shared" ref="G18:G20" si="5">E18/B18*100</f>
        <v>0</v>
      </c>
    </row>
    <row r="19" spans="1:7" ht="31.5" x14ac:dyDescent="0.25">
      <c r="A19" s="25" t="s">
        <v>55</v>
      </c>
      <c r="B19" s="20">
        <v>10000</v>
      </c>
      <c r="C19" s="19"/>
      <c r="D19" s="19">
        <v>0</v>
      </c>
      <c r="E19" s="19">
        <f t="shared" si="3"/>
        <v>0</v>
      </c>
      <c r="F19" s="19">
        <f t="shared" si="4"/>
        <v>10000</v>
      </c>
      <c r="G19" s="19">
        <f t="shared" si="5"/>
        <v>0</v>
      </c>
    </row>
    <row r="20" spans="1:7" ht="31.5" x14ac:dyDescent="0.25">
      <c r="A20" s="25" t="s">
        <v>56</v>
      </c>
      <c r="B20" s="20">
        <v>25000</v>
      </c>
      <c r="C20" s="19"/>
      <c r="D20" s="19">
        <v>0</v>
      </c>
      <c r="E20" s="19">
        <f t="shared" si="3"/>
        <v>0</v>
      </c>
      <c r="F20" s="19">
        <f t="shared" si="4"/>
        <v>25000</v>
      </c>
      <c r="G20" s="19">
        <f t="shared" si="5"/>
        <v>0</v>
      </c>
    </row>
    <row r="21" spans="1:7" ht="31.5" x14ac:dyDescent="0.25">
      <c r="A21" s="25" t="s">
        <v>57</v>
      </c>
      <c r="B21" s="20">
        <v>20000</v>
      </c>
      <c r="C21" s="19"/>
      <c r="D21" s="19">
        <v>0</v>
      </c>
      <c r="E21" s="19">
        <f t="shared" ref="E21" si="6">+C21+D21</f>
        <v>0</v>
      </c>
      <c r="F21" s="19">
        <f t="shared" ref="F21" si="7">+B21-E21</f>
        <v>20000</v>
      </c>
      <c r="G21" s="19">
        <f t="shared" ref="G21" si="8">E21/B21*100</f>
        <v>0</v>
      </c>
    </row>
    <row r="22" spans="1:7" ht="31.5" x14ac:dyDescent="0.25">
      <c r="A22" s="25" t="s">
        <v>58</v>
      </c>
      <c r="B22" s="20">
        <v>10000</v>
      </c>
      <c r="C22" s="19"/>
      <c r="D22" s="19">
        <v>0</v>
      </c>
      <c r="E22" s="19">
        <f t="shared" ref="E22:E23" si="9">+C22+D22</f>
        <v>0</v>
      </c>
      <c r="F22" s="19">
        <f t="shared" ref="F22:F23" si="10">+B22-E22</f>
        <v>10000</v>
      </c>
      <c r="G22" s="19">
        <f t="shared" ref="G22:G23" si="11">E22/B22*100</f>
        <v>0</v>
      </c>
    </row>
    <row r="23" spans="1:7" ht="18" x14ac:dyDescent="0.4">
      <c r="A23" s="25" t="s">
        <v>59</v>
      </c>
      <c r="B23" s="21">
        <v>30000</v>
      </c>
      <c r="C23" s="22"/>
      <c r="D23" s="22">
        <v>0</v>
      </c>
      <c r="E23" s="22">
        <f t="shared" si="9"/>
        <v>0</v>
      </c>
      <c r="F23" s="22">
        <f t="shared" si="10"/>
        <v>30000</v>
      </c>
      <c r="G23" s="19">
        <f t="shared" si="11"/>
        <v>0</v>
      </c>
    </row>
    <row r="24" spans="1:7" ht="21" customHeight="1" x14ac:dyDescent="0.25">
      <c r="A24" s="24" t="s">
        <v>18</v>
      </c>
      <c r="B24" s="23">
        <f>SUM(B15:B23)</f>
        <v>265000</v>
      </c>
      <c r="C24" s="23">
        <f>SUM(C15:C23)</f>
        <v>0</v>
      </c>
      <c r="D24" s="23">
        <f>SUM(D15:D23)</f>
        <v>0</v>
      </c>
      <c r="E24" s="23">
        <f>SUM(E15:E23)</f>
        <v>0</v>
      </c>
      <c r="F24" s="23">
        <f>SUM(F15:F23)</f>
        <v>265000</v>
      </c>
      <c r="G24" s="19">
        <f t="shared" ref="G24" si="12">E24/B24*100</f>
        <v>0</v>
      </c>
    </row>
    <row r="25" spans="1:7" x14ac:dyDescent="0.25">
      <c r="A25" s="9" t="s">
        <v>17</v>
      </c>
    </row>
    <row r="26" spans="1:7" x14ac:dyDescent="0.25">
      <c r="A26" s="6" t="s">
        <v>48</v>
      </c>
      <c r="B26" s="8"/>
    </row>
    <row r="27" spans="1:7" x14ac:dyDescent="0.25">
      <c r="A27" s="6" t="s">
        <v>47</v>
      </c>
      <c r="B27" s="8"/>
    </row>
    <row r="28" spans="1:7" x14ac:dyDescent="0.25">
      <c r="B28" s="8"/>
    </row>
    <row r="29" spans="1:7" x14ac:dyDescent="0.25">
      <c r="B29" s="8"/>
    </row>
    <row r="30" spans="1:7" x14ac:dyDescent="0.25">
      <c r="A30" s="7"/>
      <c r="B30" s="8"/>
      <c r="C30" s="7"/>
      <c r="D30" s="7"/>
      <c r="F30" s="7"/>
    </row>
    <row r="31" spans="1:7" x14ac:dyDescent="0.25">
      <c r="A31" s="6" t="s">
        <v>20</v>
      </c>
      <c r="C31" s="6" t="s">
        <v>22</v>
      </c>
      <c r="F31" s="6" t="s">
        <v>9</v>
      </c>
    </row>
    <row r="34" spans="1:6" x14ac:dyDescent="0.25">
      <c r="A34" s="7"/>
      <c r="B34" s="8"/>
      <c r="C34" s="7"/>
      <c r="D34" s="7"/>
      <c r="F34" s="7"/>
    </row>
    <row r="35" spans="1:6" x14ac:dyDescent="0.25">
      <c r="A35" s="6" t="s">
        <v>19</v>
      </c>
      <c r="B35" s="8"/>
      <c r="C35" s="6" t="s">
        <v>21</v>
      </c>
      <c r="F35" s="6" t="s">
        <v>9</v>
      </c>
    </row>
    <row r="36" spans="1:6" ht="12.75" customHeight="1" x14ac:dyDescent="0.25"/>
    <row r="37" spans="1:6" ht="12.75" customHeight="1" x14ac:dyDescent="0.25"/>
    <row r="38" spans="1:6" ht="12.75" customHeight="1" x14ac:dyDescent="0.25"/>
  </sheetData>
  <phoneticPr fontId="0" type="noConversion"/>
  <pageMargins left="0.75" right="0.75" top="1" bottom="1" header="0.5" footer="0.5"/>
  <pageSetup scale="56"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23"/>
  <sheetViews>
    <sheetView workbookViewId="0">
      <selection activeCell="A14" sqref="A14"/>
    </sheetView>
  </sheetViews>
  <sheetFormatPr defaultRowHeight="12.75" x14ac:dyDescent="0.2"/>
  <cols>
    <col min="1" max="1" width="89.7109375" customWidth="1"/>
  </cols>
  <sheetData>
    <row r="1" spans="1:1" ht="13.5" thickTop="1" x14ac:dyDescent="0.2">
      <c r="A1" s="1"/>
    </row>
    <row r="2" spans="1:1" x14ac:dyDescent="0.2">
      <c r="A2" s="2" t="s">
        <v>23</v>
      </c>
    </row>
    <row r="3" spans="1:1" x14ac:dyDescent="0.2">
      <c r="A3" s="3"/>
    </row>
    <row r="4" spans="1:1" x14ac:dyDescent="0.2">
      <c r="A4" s="3"/>
    </row>
    <row r="5" spans="1:1" x14ac:dyDescent="0.2">
      <c r="A5" s="2" t="s">
        <v>26</v>
      </c>
    </row>
    <row r="6" spans="1:1" x14ac:dyDescent="0.2">
      <c r="A6" s="3"/>
    </row>
    <row r="7" spans="1:1" x14ac:dyDescent="0.2">
      <c r="A7" s="3"/>
    </row>
    <row r="8" spans="1:1" ht="38.25" x14ac:dyDescent="0.2">
      <c r="A8" s="4" t="s">
        <v>24</v>
      </c>
    </row>
    <row r="9" spans="1:1" x14ac:dyDescent="0.2">
      <c r="A9" s="4"/>
    </row>
    <row r="10" spans="1:1" ht="25.5" x14ac:dyDescent="0.2">
      <c r="A10" s="4" t="s">
        <v>31</v>
      </c>
    </row>
    <row r="11" spans="1:1" x14ac:dyDescent="0.2">
      <c r="A11" s="4"/>
    </row>
    <row r="12" spans="1:1" ht="38.25" x14ac:dyDescent="0.2">
      <c r="A12" s="4" t="s">
        <v>27</v>
      </c>
    </row>
    <row r="13" spans="1:1" x14ac:dyDescent="0.2">
      <c r="A13" s="4"/>
    </row>
    <row r="14" spans="1:1" ht="25.5" x14ac:dyDescent="0.2">
      <c r="A14" s="4" t="s">
        <v>32</v>
      </c>
    </row>
    <row r="15" spans="1:1" x14ac:dyDescent="0.2">
      <c r="A15" s="4"/>
    </row>
    <row r="16" spans="1:1" ht="38.25" x14ac:dyDescent="0.2">
      <c r="A16" s="4" t="s">
        <v>28</v>
      </c>
    </row>
    <row r="17" spans="1:1" x14ac:dyDescent="0.2">
      <c r="A17" s="4"/>
    </row>
    <row r="18" spans="1:1" ht="25.5" x14ac:dyDescent="0.2">
      <c r="A18" s="4" t="s">
        <v>29</v>
      </c>
    </row>
    <row r="19" spans="1:1" x14ac:dyDescent="0.2">
      <c r="A19" s="4"/>
    </row>
    <row r="20" spans="1:1" ht="25.5" x14ac:dyDescent="0.2">
      <c r="A20" s="4" t="s">
        <v>30</v>
      </c>
    </row>
    <row r="21" spans="1:1" x14ac:dyDescent="0.2">
      <c r="A21" s="4"/>
    </row>
    <row r="22" spans="1:1" ht="39" thickBot="1" x14ac:dyDescent="0.25">
      <c r="A22" s="5" t="s">
        <v>33</v>
      </c>
    </row>
    <row r="23" spans="1:1" ht="13.5" thickTop="1" x14ac:dyDescent="0.2"/>
  </sheetData>
  <phoneticPr fontId="0" type="noConversion"/>
  <pageMargins left="0.75" right="0.75" top="1" bottom="1" header="0.5" footer="0.5"/>
  <pageSetup orientation="portrait" horizontalDpi="300" verticalDpi="3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A8244AD7F81A74BB1F6BE7CC90FA8E8" ma:contentTypeVersion="13" ma:contentTypeDescription="Create a new document." ma:contentTypeScope="" ma:versionID="7d6f77824255b00d60b5779efe02c1a4">
  <xsd:schema xmlns:xsd="http://www.w3.org/2001/XMLSchema" xmlns:xs="http://www.w3.org/2001/XMLSchema" xmlns:p="http://schemas.microsoft.com/office/2006/metadata/properties" xmlns:ns3="a404bc0d-6635-4632-b9f4-ce7643015644" xmlns:ns4="7e084402-7dce-43c9-86cb-e5c53132b20e" targetNamespace="http://schemas.microsoft.com/office/2006/metadata/properties" ma:root="true" ma:fieldsID="8bdf2bfcf066f05f0e5e8ede488e2525" ns3:_="" ns4:_="">
    <xsd:import namespace="a404bc0d-6635-4632-b9f4-ce7643015644"/>
    <xsd:import namespace="7e084402-7dce-43c9-86cb-e5c53132b20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3:MediaServiceEventHashCode" minOccurs="0"/>
                <xsd:element ref="ns3:MediaServiceGenerationTime" minOccurs="0"/>
                <xsd:element ref="ns4:SharedWithUsers" minOccurs="0"/>
                <xsd:element ref="ns4:SharedWithDetails" minOccurs="0"/>
                <xsd:element ref="ns4:SharingHintHash"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04bc0d-6635-4632-b9f4-ce76430156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084402-7dce-43c9-86cb-e5c53132b20e"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A51D48-D63B-452E-A9AA-B1A5739E6CA9}">
  <ds:schemaRefs>
    <ds:schemaRef ds:uri="http://purl.org/dc/terms/"/>
    <ds:schemaRef ds:uri="http://schemas.microsoft.com/office/2006/documentManagement/types"/>
    <ds:schemaRef ds:uri="http://purl.org/dc/elements/1.1/"/>
    <ds:schemaRef ds:uri="http://schemas.microsoft.com/office/2006/metadata/properties"/>
    <ds:schemaRef ds:uri="7e084402-7dce-43c9-86cb-e5c53132b20e"/>
    <ds:schemaRef ds:uri="http://schemas.microsoft.com/office/infopath/2007/PartnerControls"/>
    <ds:schemaRef ds:uri="a404bc0d-6635-4632-b9f4-ce7643015644"/>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B04C50D2-B47C-4958-AB26-F8DFDC4758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04bc0d-6635-4632-b9f4-ce7643015644"/>
    <ds:schemaRef ds:uri="7e084402-7dce-43c9-86cb-e5c53132b2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FF56D2B-5289-47AB-834B-098BFAF478E9}">
  <ds:schemaRefs>
    <ds:schemaRef ds:uri="http://schemas.microsoft.com/sharepoint/v3/contenttype/forms"/>
  </ds:schemaRefs>
</ds:datastoreItem>
</file>

<file path=docMetadata/LabelInfo.xml><?xml version="1.0" encoding="utf-8"?>
<clbl:labelList xmlns:clbl="http://schemas.microsoft.com/office/2020/mipLabelMetadata">
  <clbl:label id="{71e34cb8-3a56-4fd5-a259-4acadab6e4ac}" enabled="0" method="" siteId="{71e34cb8-3a56-4fd5-a259-4acadab6e4a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Expenditures</vt:lpstr>
      <vt:lpstr>Equipment</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Zandueta, Lilibeth</dc:creator>
  <cp:lastModifiedBy>ANA BEATRIZ SPINDOLA DA SILVA</cp:lastModifiedBy>
  <cp:lastPrinted>2026-02-06T18:47:22Z</cp:lastPrinted>
  <dcterms:created xsi:type="dcterms:W3CDTF">2003-09-26T14:07:04Z</dcterms:created>
  <dcterms:modified xsi:type="dcterms:W3CDTF">2026-02-06T18:47:51Z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0x010100BA8244AD7F81A74BB1F6BE7CC90FA8E8</vt:lpwstr>
  </property>
</Properties>
</file>