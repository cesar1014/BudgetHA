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24226"/>
  <mc:AlternateContent xmlns:mc="http://schemas.openxmlformats.org/markup-compatibility/2006">
    <mc:Choice Requires="x15">
      <x15ac:absPath xmlns:x15ac="http://schemas.microsoft.com/office/spreadsheetml/2010/11/ac" url="https://myplace.bms.com/personal/damon_young_bms_com/Documents/Desktop/MyDocuments/My Documents/BMS Foundation/Grant Approvals/2023 BMSF Grants/Brazil RFP/"/>
    </mc:Choice>
  </mc:AlternateContent>
  <xr:revisionPtr revIDLastSave="0" documentId="8_{6E1F1976-226B-4892-9017-AD6453CBFC11}" xr6:coauthVersionLast="47" xr6:coauthVersionMax="47" xr10:uidLastSave="{00000000-0000-0000-0000-000000000000}"/>
  <bookViews>
    <workbookView xWindow="-110" yWindow="-110" windowWidth="19420" windowHeight="11500" xr2:uid="{00000000-000D-0000-FFFF-FFFF00000000}"/>
  </bookViews>
  <sheets>
    <sheet name="Expenditure" sheetId="1" r:id="rId1"/>
    <sheet name="Instructions"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0" i="1" l="1"/>
  <c r="E30" i="1"/>
  <c r="G30" i="1" s="1"/>
  <c r="E26" i="1"/>
  <c r="G26" i="1" s="1"/>
  <c r="E25" i="1"/>
  <c r="G25" i="1" s="1"/>
  <c r="E24" i="1"/>
  <c r="G24" i="1" s="1"/>
  <c r="E19" i="1"/>
  <c r="G19" i="1" s="1"/>
  <c r="E16" i="1"/>
  <c r="G16" i="1" s="1"/>
  <c r="E29" i="1"/>
  <c r="G29" i="1" s="1"/>
  <c r="E28" i="1"/>
  <c r="G28" i="1" s="1"/>
  <c r="C32" i="1"/>
  <c r="D32" i="1"/>
  <c r="B32" i="1"/>
  <c r="F26" i="1" l="1"/>
  <c r="F24" i="1"/>
  <c r="F25" i="1"/>
  <c r="F19" i="1"/>
  <c r="F16" i="1"/>
  <c r="F28" i="1"/>
  <c r="F29" i="1"/>
  <c r="E23" i="1"/>
  <c r="F23" i="1" s="1"/>
  <c r="E22" i="1"/>
  <c r="G22" i="1" s="1"/>
  <c r="E21" i="1"/>
  <c r="F21" i="1" s="1"/>
  <c r="E18" i="1"/>
  <c r="G18" i="1" s="1"/>
  <c r="E17" i="1"/>
  <c r="F17" i="1" s="1"/>
  <c r="G21" i="1" l="1"/>
  <c r="F22" i="1"/>
  <c r="G17" i="1"/>
  <c r="G23" i="1"/>
  <c r="F18" i="1"/>
  <c r="E31" i="1"/>
  <c r="G31" i="1" s="1"/>
  <c r="F31" i="1" l="1"/>
  <c r="E15" i="1"/>
  <c r="G15" i="1" l="1"/>
  <c r="E32" i="1"/>
  <c r="G32" i="1" s="1"/>
  <c r="F15" i="1"/>
  <c r="F32" i="1" s="1"/>
</calcChain>
</file>

<file path=xl/sharedStrings.xml><?xml version="1.0" encoding="utf-8"?>
<sst xmlns="http://schemas.openxmlformats.org/spreadsheetml/2006/main" count="73" uniqueCount="71">
  <si>
    <t>REPORTING PERIOD:</t>
  </si>
  <si>
    <t>From (mm/dd/yy):</t>
  </si>
  <si>
    <t xml:space="preserve">To (mm/dd/yy): </t>
  </si>
  <si>
    <t>Column 2</t>
  </si>
  <si>
    <t>Column 1</t>
  </si>
  <si>
    <t>Column 3</t>
  </si>
  <si>
    <t>Column 4</t>
  </si>
  <si>
    <t>Column 5</t>
  </si>
  <si>
    <t>Total Program</t>
  </si>
  <si>
    <t>Date</t>
  </si>
  <si>
    <t xml:space="preserve">Budget line items as agreed </t>
  </si>
  <si>
    <t>To Approved Program</t>
  </si>
  <si>
    <t xml:space="preserve">Total </t>
  </si>
  <si>
    <t xml:space="preserve">Expenditures </t>
  </si>
  <si>
    <t xml:space="preserve">Balance </t>
  </si>
  <si>
    <t>Remaining</t>
  </si>
  <si>
    <t>% of Budget</t>
  </si>
  <si>
    <t>Certification:</t>
  </si>
  <si>
    <t>Total Budget and Expenditure</t>
  </si>
  <si>
    <t>Project Director - (Name &amp; Title)</t>
  </si>
  <si>
    <t>Chief Financial Officer - (Name &amp; Title)</t>
  </si>
  <si>
    <t>Project Director (Signature)</t>
  </si>
  <si>
    <t>Chief Financial Officer (Signature)</t>
  </si>
  <si>
    <t>EXPLANATORY NOTES</t>
  </si>
  <si>
    <t>1. Column 1: Approved Budget Line Items.  This column represents the approved budget categories (line items) for your approved budget proposal.  Line item changes (for example, additions and/or deletions) to the budget requires advanced approval by the BMS Foundation.</t>
  </si>
  <si>
    <t>FINANCIAL REPORT TO BRISTOL-MYERS SQUIBB FOUNDATION</t>
  </si>
  <si>
    <t>Instructions for Part A:</t>
  </si>
  <si>
    <t xml:space="preserve">3. Column 3:Total Prior Expenditures to date:  For the first reporting period ONLY, Column 3 should be left blank.  For subsequent financial reports, "Prior Total Expenditures to Date" should be equal to the "Total Expenditures to Date" (Column 5) of the prior financial report.  </t>
  </si>
  <si>
    <t>5. Column 5: Total Expenditures to date.  Enter actual expenditures to-date for each line item of the approved budget by adding Column 3 and Column 4 of this report.  For the first reporting period ONLY, Columns 3 and 4 should be the same.</t>
  </si>
  <si>
    <t>6. Column 6: Balance Remaining.  Calculate the remaining budget for each line item by subtracting Column 5 from Column 2.</t>
  </si>
  <si>
    <t>7. Column 7: Percentage of budget expended to date.  Calculate the percentage expended to date for each budget line item by dividing Column 5 by Column 2.</t>
  </si>
  <si>
    <t>2. Column 2: Approved Budget. This column represents the approved budget amounts based on the TOTAL program budget, NOT the funds you received.</t>
  </si>
  <si>
    <t xml:space="preserve">4. Column 4: Expenditures in the reporting  period.  Enter the amount spent for each line item of the approved budget during this reporting period.  Include only those expenses that have been paid. </t>
  </si>
  <si>
    <r>
      <t>NOTE:</t>
    </r>
    <r>
      <rPr>
        <sz val="10"/>
        <rFont val="Arial"/>
        <family val="2"/>
      </rPr>
      <t xml:space="preserve"> Amounts over budget - A budget line item should not be exceeded without the prior approval of the BMS Foundation.  Where an overrun is anticipated, the Project Director should seek approval in writing from the BMS Foundation in advance.</t>
    </r>
  </si>
  <si>
    <t>Column 6</t>
  </si>
  <si>
    <t>Column 7</t>
  </si>
  <si>
    <t xml:space="preserve">               Expenditures</t>
  </si>
  <si>
    <t>Prior Total</t>
  </si>
  <si>
    <t>Expenditures</t>
  </si>
  <si>
    <t>Expenditures To</t>
  </si>
  <si>
    <t>This Period</t>
  </si>
  <si>
    <t>expended to date</t>
  </si>
  <si>
    <t>To Date</t>
  </si>
  <si>
    <t>(column 2 - 5)</t>
  </si>
  <si>
    <t>(column 5 / 2)</t>
  </si>
  <si>
    <t xml:space="preserve">GRANTEE:  </t>
  </si>
  <si>
    <t>PROGRAM:</t>
  </si>
  <si>
    <t>exclusively as a non-profit/non-governmental organization with no material changes in its organization or operation.</t>
  </si>
  <si>
    <t xml:space="preserve">I hereby certify the above financial report to be correct. I further certify that this organization/project continues to conduct its operations </t>
  </si>
  <si>
    <t>FUNDACAO PIO XII</t>
  </si>
  <si>
    <t>COMMUNICATIONS &amp; PUBLICATIONS</t>
  </si>
  <si>
    <t>Promoting Health Equity: Social Mobilization and Cultural Sensitivity to Ensure</t>
  </si>
  <si>
    <t>Access to Black Population Health Care, Focusing on Cancer Prevention and Treatment</t>
  </si>
  <si>
    <t>Through Digital Health and Educational Campaigns</t>
  </si>
  <si>
    <t>Computer</t>
  </si>
  <si>
    <t>TEAM HIRES</t>
  </si>
  <si>
    <t>Publications</t>
  </si>
  <si>
    <t>Didactic Material</t>
  </si>
  <si>
    <t>THIRD PARTY SERVICES</t>
  </si>
  <si>
    <r>
      <rPr>
        <sz val="12"/>
        <color rgb="FF000000"/>
        <rFont val="Calibri"/>
        <family val="2"/>
      </rPr>
      <t>Project Coordinator</t>
    </r>
  </si>
  <si>
    <r>
      <rPr>
        <sz val="12"/>
        <color rgb="FF000000"/>
        <rFont val="Calibri"/>
        <family val="2"/>
      </rPr>
      <t>Just Mine</t>
    </r>
  </si>
  <si>
    <r>
      <rPr>
        <sz val="12"/>
        <color rgb="FF000000"/>
        <rFont val="Calibri"/>
        <family val="2"/>
      </rPr>
      <t>External Consultant</t>
    </r>
  </si>
  <si>
    <t>Budget  (BRL)</t>
  </si>
  <si>
    <r>
      <rPr>
        <sz val="12"/>
        <color rgb="FF000000"/>
        <rFont val="Calibri"/>
        <family val="2"/>
      </rPr>
      <t>Nurse</t>
    </r>
    <r>
      <rPr>
        <sz val="12"/>
        <color theme="1"/>
        <rFont val="Calibri"/>
        <family val="2"/>
        <scheme val="minor"/>
      </rPr>
      <t xml:space="preserve"> 1</t>
    </r>
  </si>
  <si>
    <r>
      <rPr>
        <sz val="12"/>
        <color rgb="FF000000"/>
        <rFont val="Calibri"/>
        <family val="2"/>
      </rPr>
      <t>Nurse</t>
    </r>
    <r>
      <rPr>
        <sz val="12"/>
        <color theme="1"/>
        <rFont val="Calibri"/>
        <family val="2"/>
        <scheme val="minor"/>
      </rPr>
      <t xml:space="preserve"> 2</t>
    </r>
  </si>
  <si>
    <t>Administrative Assistant 1</t>
  </si>
  <si>
    <t>Administrative Assistant 2</t>
  </si>
  <si>
    <t>Digital Marketing</t>
  </si>
  <si>
    <t>Technical Equipment &amp; Infrastructure</t>
  </si>
  <si>
    <t>Team Transportation &amp; Meals</t>
  </si>
  <si>
    <t>Events &amp; Conferences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</si>
</sst>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mmm\-yyyy"/>
    <numFmt numFmtId="165" formatCode="[$-409]mmmm\ d\,\ yyyy;@"/>
  </numFmts>
  <fonts count="9" x14ac:knownFonts="1">
    <font>
      <sz val="10"/>
      <name val="Arial"/>
    </font>
    <font>
      <sz val="10"/>
      <name val="Arial"/>
      <family val="2"/>
    </font>
    <font>
      <b/>
      <sz val="10"/>
      <name val="Arial"/>
      <family val="2"/>
    </font>
    <font>
      <sz val="12"/>
      <name val="Calibri"/>
      <family val="2"/>
      <scheme val="minor"/>
    </font>
    <font>
      <b/>
      <sz val="12"/>
      <name val="Calibri"/>
      <family val="2"/>
      <scheme val="minor"/>
    </font>
    <font>
      <u val="singleAccounting"/>
      <sz val="12"/>
      <name val="Calibri"/>
      <family val="2"/>
      <scheme val="minor"/>
    </font>
    <font>
      <sz val="12"/>
      <color theme="1"/>
      <name val="Calibri"/>
      <family val="2"/>
      <scheme val="minor"/>
    </font>
    <font>
      <b/>
      <sz val="12"/>
      <name val="Calibri"/>
      <family val="2"/>
    </font>
    <font>
      <sz val="12"/>
      <color rgb="FF000000"/>
      <name val="Calibri"/>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style="thick">
        <color indexed="64"/>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0" fontId="0" fillId="0" borderId="5" xfId="0" applyBorder="1"/>
    <xf numFmtId="0" fontId="2" fillId="0" borderId="6" xfId="0" applyFont="1" applyBorder="1"/>
    <xf numFmtId="0" fontId="0" fillId="0" borderId="6" xfId="0" applyBorder="1"/>
    <xf numFmtId="0" fontId="0" fillId="0" borderId="6" xfId="0" applyBorder="1" applyAlignment="1">
      <alignment wrapText="1"/>
    </xf>
    <xf numFmtId="0" fontId="2" fillId="0" borderId="7" xfId="0" applyFont="1" applyBorder="1" applyAlignment="1">
      <alignment wrapText="1"/>
    </xf>
    <xf numFmtId="0" fontId="3" fillId="0" borderId="0" xfId="0" applyFont="1"/>
    <xf numFmtId="0" fontId="3" fillId="0" borderId="3" xfId="0" applyFont="1" applyBorder="1"/>
    <xf numFmtId="3" fontId="3" fillId="0" borderId="0" xfId="0" applyNumberFormat="1" applyFont="1"/>
    <xf numFmtId="0" fontId="4" fillId="0" borderId="0" xfId="0" applyFont="1"/>
    <xf numFmtId="0" fontId="4" fillId="0" borderId="0" xfId="0" applyFont="1" applyAlignment="1">
      <alignment horizontal="center"/>
    </xf>
    <xf numFmtId="165" fontId="3" fillId="0" borderId="0" xfId="0" applyNumberFormat="1" applyFont="1"/>
    <xf numFmtId="164" fontId="3" fillId="0" borderId="0" xfId="0" applyNumberFormat="1" applyFont="1"/>
    <xf numFmtId="0" fontId="4" fillId="0" borderId="1" xfId="0" applyFont="1" applyBorder="1" applyAlignment="1">
      <alignment horizontal="center"/>
    </xf>
    <xf numFmtId="0" fontId="4" fillId="0" borderId="1" xfId="0" applyFont="1" applyBorder="1"/>
    <xf numFmtId="0" fontId="4" fillId="0" borderId="2" xfId="0" applyFont="1" applyBorder="1"/>
    <xf numFmtId="0" fontId="4" fillId="0" borderId="2" xfId="0" applyFont="1" applyBorder="1" applyAlignment="1">
      <alignment horizontal="center"/>
    </xf>
    <xf numFmtId="0" fontId="4" fillId="0" borderId="4" xfId="0" applyFont="1" applyBorder="1"/>
    <xf numFmtId="0" fontId="4" fillId="0" borderId="4" xfId="0" applyFont="1" applyBorder="1" applyAlignment="1">
      <alignment horizontal="center"/>
    </xf>
    <xf numFmtId="4" fontId="3" fillId="0" borderId="1" xfId="0" applyNumberFormat="1" applyFont="1" applyBorder="1"/>
    <xf numFmtId="43" fontId="5" fillId="0" borderId="1" xfId="1" applyFont="1" applyBorder="1"/>
    <xf numFmtId="4" fontId="5" fillId="0" borderId="1" xfId="0" applyNumberFormat="1" applyFont="1" applyBorder="1"/>
    <xf numFmtId="43" fontId="3" fillId="0" borderId="1" xfId="0" applyNumberFormat="1" applyFont="1" applyBorder="1"/>
    <xf numFmtId="43" fontId="3" fillId="0" borderId="0" xfId="0" applyNumberFormat="1" applyFont="1"/>
    <xf numFmtId="4" fontId="4" fillId="0" borderId="0" xfId="0" applyNumberFormat="1" applyFont="1"/>
    <xf numFmtId="0" fontId="7" fillId="0" borderId="0" xfId="0" applyFont="1"/>
    <xf numFmtId="43" fontId="3" fillId="0" borderId="8" xfId="1" applyFont="1" applyBorder="1"/>
    <xf numFmtId="0" fontId="4" fillId="0" borderId="9" xfId="0" applyFont="1" applyBorder="1"/>
    <xf numFmtId="0" fontId="6" fillId="0" borderId="1" xfId="0" applyFont="1" applyBorder="1" applyAlignment="1">
      <alignment horizontal="left" vertical="center" wrapText="1"/>
    </xf>
    <xf numFmtId="0" fontId="8" fillId="0" borderId="1" xfId="0" applyFont="1" applyBorder="1" applyAlignment="1">
      <alignment horizontal="left" vertical="center"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47"/>
  <sheetViews>
    <sheetView tabSelected="1" topLeftCell="A12" workbookViewId="0">
      <selection activeCell="B16" sqref="B16"/>
    </sheetView>
  </sheetViews>
  <sheetFormatPr defaultColWidth="9.1796875" defaultRowHeight="15.5" x14ac:dyDescent="0.35"/>
  <cols>
    <col min="1" max="1" width="36.7265625" style="6" customWidth="1"/>
    <col min="2" max="2" width="19.7265625" style="6" customWidth="1"/>
    <col min="3" max="3" width="16.7265625" style="6" customWidth="1"/>
    <col min="4" max="4" width="22.81640625" style="6" customWidth="1"/>
    <col min="5" max="5" width="25.26953125" style="6" customWidth="1"/>
    <col min="6" max="6" width="21.54296875" style="6" customWidth="1"/>
    <col min="7" max="7" width="21.81640625" style="6" customWidth="1"/>
    <col min="8" max="16384" width="9.1796875" style="6"/>
  </cols>
  <sheetData>
    <row r="1" spans="1:7" x14ac:dyDescent="0.35">
      <c r="B1" s="9" t="s">
        <v>25</v>
      </c>
      <c r="E1" s="10"/>
    </row>
    <row r="3" spans="1:7" x14ac:dyDescent="0.35">
      <c r="A3" s="9" t="s">
        <v>45</v>
      </c>
      <c r="B3" s="9" t="s">
        <v>49</v>
      </c>
      <c r="F3" s="9" t="s">
        <v>0</v>
      </c>
    </row>
    <row r="4" spans="1:7" ht="40.5" customHeight="1" x14ac:dyDescent="0.35">
      <c r="A4" s="9" t="s">
        <v>46</v>
      </c>
      <c r="B4" s="25" t="s">
        <v>51</v>
      </c>
      <c r="F4" s="9" t="s">
        <v>1</v>
      </c>
      <c r="G4" s="11">
        <v>45839</v>
      </c>
    </row>
    <row r="5" spans="1:7" x14ac:dyDescent="0.35">
      <c r="B5" s="9" t="s">
        <v>52</v>
      </c>
      <c r="G5" s="11"/>
    </row>
    <row r="6" spans="1:7" x14ac:dyDescent="0.35">
      <c r="B6" s="9" t="s">
        <v>53</v>
      </c>
      <c r="G6" s="11"/>
    </row>
    <row r="7" spans="1:7" x14ac:dyDescent="0.35">
      <c r="F7" s="9" t="s">
        <v>2</v>
      </c>
      <c r="G7" s="11">
        <v>46022</v>
      </c>
    </row>
    <row r="8" spans="1:7" x14ac:dyDescent="0.35">
      <c r="E8" s="9"/>
      <c r="F8" s="12"/>
    </row>
    <row r="9" spans="1:7" x14ac:dyDescent="0.35">
      <c r="A9" s="13" t="s">
        <v>4</v>
      </c>
      <c r="B9" s="13" t="s">
        <v>3</v>
      </c>
      <c r="C9" s="13" t="s">
        <v>5</v>
      </c>
      <c r="D9" s="13" t="s">
        <v>6</v>
      </c>
      <c r="E9" s="13" t="s">
        <v>7</v>
      </c>
      <c r="F9" s="13" t="s">
        <v>34</v>
      </c>
      <c r="G9" s="13" t="s">
        <v>35</v>
      </c>
    </row>
    <row r="10" spans="1:7" x14ac:dyDescent="0.35">
      <c r="A10" s="14"/>
      <c r="B10" s="14"/>
      <c r="C10" s="14"/>
      <c r="D10" s="14" t="s">
        <v>36</v>
      </c>
      <c r="E10" s="14"/>
      <c r="F10" s="14"/>
      <c r="G10" s="14"/>
    </row>
    <row r="11" spans="1:7" x14ac:dyDescent="0.35">
      <c r="A11" s="15" t="s">
        <v>10</v>
      </c>
      <c r="B11" s="16" t="s">
        <v>8</v>
      </c>
      <c r="C11" s="16" t="s">
        <v>37</v>
      </c>
      <c r="D11" s="16" t="s">
        <v>38</v>
      </c>
      <c r="E11" s="16" t="s">
        <v>12</v>
      </c>
      <c r="F11" s="16" t="s">
        <v>14</v>
      </c>
      <c r="G11" s="16" t="s">
        <v>16</v>
      </c>
    </row>
    <row r="12" spans="1:7" x14ac:dyDescent="0.35">
      <c r="A12" s="15" t="s">
        <v>11</v>
      </c>
      <c r="B12" s="16" t="s">
        <v>62</v>
      </c>
      <c r="C12" s="16" t="s">
        <v>39</v>
      </c>
      <c r="D12" s="16" t="s">
        <v>40</v>
      </c>
      <c r="E12" s="16" t="s">
        <v>13</v>
      </c>
      <c r="F12" s="16" t="s">
        <v>15</v>
      </c>
      <c r="G12" s="16" t="s">
        <v>41</v>
      </c>
    </row>
    <row r="13" spans="1:7" x14ac:dyDescent="0.35">
      <c r="A13" s="17"/>
      <c r="B13" s="18"/>
      <c r="C13" s="18" t="s">
        <v>9</v>
      </c>
      <c r="D13" s="18"/>
      <c r="E13" s="18" t="s">
        <v>42</v>
      </c>
      <c r="F13" s="18" t="s">
        <v>43</v>
      </c>
      <c r="G13" s="18" t="s">
        <v>44</v>
      </c>
    </row>
    <row r="14" spans="1:7" x14ac:dyDescent="0.35">
      <c r="A14" s="27" t="s">
        <v>55</v>
      </c>
      <c r="B14" s="26"/>
      <c r="C14" s="19"/>
      <c r="D14" s="19"/>
      <c r="E14" s="19"/>
      <c r="F14" s="19"/>
      <c r="G14" s="19"/>
    </row>
    <row r="15" spans="1:7" x14ac:dyDescent="0.35">
      <c r="A15" s="28" t="s">
        <v>63</v>
      </c>
      <c r="B15" s="26">
        <v>268981</v>
      </c>
      <c r="C15" s="19">
        <v>58248.26</v>
      </c>
      <c r="D15" s="19">
        <v>0</v>
      </c>
      <c r="E15" s="19">
        <f>+C15+D15</f>
        <v>58248.26</v>
      </c>
      <c r="F15" s="19">
        <f>+B15-E15</f>
        <v>210732.74</v>
      </c>
      <c r="G15" s="19">
        <f>E15/B15*100</f>
        <v>21.655157799249761</v>
      </c>
    </row>
    <row r="16" spans="1:7" x14ac:dyDescent="0.35">
      <c r="A16" s="28" t="s">
        <v>64</v>
      </c>
      <c r="B16" s="26">
        <v>112076</v>
      </c>
      <c r="C16" s="19">
        <v>0</v>
      </c>
      <c r="D16" s="19">
        <v>0</v>
      </c>
      <c r="E16" s="19">
        <f>+C16+D16</f>
        <v>0</v>
      </c>
      <c r="F16" s="19">
        <f>+B16-E16</f>
        <v>112076</v>
      </c>
      <c r="G16" s="19">
        <f>E16/B16*100</f>
        <v>0</v>
      </c>
    </row>
    <row r="17" spans="1:7" x14ac:dyDescent="0.35">
      <c r="A17" s="28" t="s">
        <v>59</v>
      </c>
      <c r="B17" s="26">
        <v>75679</v>
      </c>
      <c r="C17" s="19">
        <v>108425.79</v>
      </c>
      <c r="D17" s="19">
        <v>0</v>
      </c>
      <c r="E17" s="19">
        <f t="shared" ref="E17:E18" si="0">+C17+D17</f>
        <v>108425.79</v>
      </c>
      <c r="F17" s="19">
        <f t="shared" ref="F17:F18" si="1">+B17-E17</f>
        <v>-32746.789999999994</v>
      </c>
      <c r="G17" s="19">
        <f t="shared" ref="G17:G18" si="2">E17/B17*100</f>
        <v>143.27064311103476</v>
      </c>
    </row>
    <row r="18" spans="1:7" x14ac:dyDescent="0.35">
      <c r="A18" s="29" t="s">
        <v>65</v>
      </c>
      <c r="B18" s="26">
        <v>66243</v>
      </c>
      <c r="C18" s="19">
        <v>0</v>
      </c>
      <c r="D18" s="19">
        <v>0</v>
      </c>
      <c r="E18" s="19">
        <f t="shared" si="0"/>
        <v>0</v>
      </c>
      <c r="F18" s="19">
        <f t="shared" si="1"/>
        <v>66243</v>
      </c>
      <c r="G18" s="19">
        <f t="shared" si="2"/>
        <v>0</v>
      </c>
    </row>
    <row r="19" spans="1:7" x14ac:dyDescent="0.35">
      <c r="A19" s="29" t="s">
        <v>66</v>
      </c>
      <c r="B19" s="26">
        <v>62931</v>
      </c>
      <c r="C19" s="19">
        <v>0</v>
      </c>
      <c r="D19" s="19">
        <v>0</v>
      </c>
      <c r="E19" s="19">
        <f t="shared" ref="E19" si="3">+C19+D19</f>
        <v>0</v>
      </c>
      <c r="F19" s="19">
        <f t="shared" ref="F19" si="4">+B19-E19</f>
        <v>62931</v>
      </c>
      <c r="G19" s="19">
        <f t="shared" ref="G19" si="5">E19/B19*100</f>
        <v>0</v>
      </c>
    </row>
    <row r="20" spans="1:7" x14ac:dyDescent="0.35">
      <c r="A20" s="27" t="s">
        <v>50</v>
      </c>
      <c r="B20" s="26"/>
      <c r="C20" s="19"/>
      <c r="D20" s="19"/>
      <c r="E20" s="19"/>
      <c r="F20" s="19"/>
      <c r="G20" s="19"/>
    </row>
    <row r="21" spans="1:7" x14ac:dyDescent="0.35">
      <c r="A21" s="28" t="s">
        <v>54</v>
      </c>
      <c r="B21" s="26">
        <v>18251</v>
      </c>
      <c r="C21" s="19">
        <v>18250.75</v>
      </c>
      <c r="D21" s="19">
        <v>0</v>
      </c>
      <c r="E21" s="19">
        <f>+C21+D21</f>
        <v>18250.75</v>
      </c>
      <c r="F21" s="19">
        <f>+B21-E21</f>
        <v>0.25</v>
      </c>
      <c r="G21" s="19">
        <f>E21/B21*100</f>
        <v>99.998630212043167</v>
      </c>
    </row>
    <row r="22" spans="1:7" x14ac:dyDescent="0.35">
      <c r="A22" s="28" t="s">
        <v>57</v>
      </c>
      <c r="B22" s="26">
        <v>30000</v>
      </c>
      <c r="C22" s="19">
        <v>5774.18</v>
      </c>
      <c r="D22" s="19">
        <v>0</v>
      </c>
      <c r="E22" s="19">
        <f>+C22+D22</f>
        <v>5774.18</v>
      </c>
      <c r="F22" s="19">
        <f>+B22-E22</f>
        <v>24225.82</v>
      </c>
      <c r="G22" s="19">
        <f>E22/B22*100</f>
        <v>19.247266666666668</v>
      </c>
    </row>
    <row r="23" spans="1:7" x14ac:dyDescent="0.35">
      <c r="A23" s="28" t="s">
        <v>56</v>
      </c>
      <c r="B23" s="26">
        <v>25000</v>
      </c>
      <c r="C23" s="19">
        <v>0</v>
      </c>
      <c r="D23" s="19">
        <v>0</v>
      </c>
      <c r="E23" s="19">
        <f>+C23+D23</f>
        <v>0</v>
      </c>
      <c r="F23" s="19">
        <f>+B23-E23</f>
        <v>25000</v>
      </c>
      <c r="G23" s="19">
        <f>E23/B23*100</f>
        <v>0</v>
      </c>
    </row>
    <row r="24" spans="1:7" x14ac:dyDescent="0.35">
      <c r="A24" s="28" t="s">
        <v>68</v>
      </c>
      <c r="B24" s="26">
        <v>50000</v>
      </c>
      <c r="C24" s="19">
        <v>0</v>
      </c>
      <c r="D24" s="19">
        <v>0</v>
      </c>
      <c r="E24" s="19">
        <f t="shared" ref="E24:E26" si="6">+C24+D24</f>
        <v>0</v>
      </c>
      <c r="F24" s="19">
        <f t="shared" ref="F24:F26" si="7">+B24-E24</f>
        <v>50000</v>
      </c>
      <c r="G24" s="19">
        <f t="shared" ref="G24:G26" si="8">E24/B24*100</f>
        <v>0</v>
      </c>
    </row>
    <row r="25" spans="1:7" x14ac:dyDescent="0.35">
      <c r="A25" s="28" t="s">
        <v>69</v>
      </c>
      <c r="B25" s="26">
        <v>30000</v>
      </c>
      <c r="C25" s="19">
        <v>0</v>
      </c>
      <c r="D25" s="19">
        <v>0</v>
      </c>
      <c r="E25" s="19">
        <f t="shared" si="6"/>
        <v>0</v>
      </c>
      <c r="F25" s="19">
        <f t="shared" si="7"/>
        <v>30000</v>
      </c>
      <c r="G25" s="19">
        <f t="shared" si="8"/>
        <v>0</v>
      </c>
    </row>
    <row r="26" spans="1:7" x14ac:dyDescent="0.35">
      <c r="A26" s="28" t="s">
        <v>70</v>
      </c>
      <c r="B26" s="26">
        <v>60000</v>
      </c>
      <c r="C26" s="19">
        <v>0</v>
      </c>
      <c r="D26" s="19">
        <v>0</v>
      </c>
      <c r="E26" s="19">
        <f t="shared" si="6"/>
        <v>0</v>
      </c>
      <c r="F26" s="19">
        <f t="shared" si="7"/>
        <v>60000</v>
      </c>
      <c r="G26" s="19">
        <f t="shared" si="8"/>
        <v>0</v>
      </c>
    </row>
    <row r="27" spans="1:7" x14ac:dyDescent="0.35">
      <c r="A27" s="27" t="s">
        <v>58</v>
      </c>
      <c r="B27" s="26"/>
      <c r="C27" s="19"/>
      <c r="D27" s="19"/>
      <c r="E27" s="19"/>
      <c r="F27" s="19"/>
      <c r="G27" s="19"/>
    </row>
    <row r="28" spans="1:7" x14ac:dyDescent="0.35">
      <c r="A28" s="28" t="s">
        <v>60</v>
      </c>
      <c r="B28" s="26">
        <v>100000</v>
      </c>
      <c r="C28" s="19">
        <v>100000</v>
      </c>
      <c r="D28" s="19">
        <v>0</v>
      </c>
      <c r="E28" s="19">
        <f t="shared" ref="E28:E29" si="9">+C28+D28</f>
        <v>100000</v>
      </c>
      <c r="F28" s="19">
        <f t="shared" ref="F28:F29" si="10">+B28-E28</f>
        <v>0</v>
      </c>
      <c r="G28" s="19">
        <f t="shared" ref="G28:G29" si="11">E28/B28*100</f>
        <v>100</v>
      </c>
    </row>
    <row r="29" spans="1:7" x14ac:dyDescent="0.35">
      <c r="A29" s="28" t="s">
        <v>61</v>
      </c>
      <c r="B29" s="26">
        <v>30000</v>
      </c>
      <c r="C29" s="19">
        <v>0</v>
      </c>
      <c r="D29" s="19">
        <v>0</v>
      </c>
      <c r="E29" s="19">
        <f t="shared" si="9"/>
        <v>0</v>
      </c>
      <c r="F29" s="19">
        <f t="shared" si="10"/>
        <v>30000</v>
      </c>
      <c r="G29" s="19">
        <f t="shared" si="11"/>
        <v>0</v>
      </c>
    </row>
    <row r="30" spans="1:7" x14ac:dyDescent="0.35">
      <c r="A30" s="29" t="s">
        <v>67</v>
      </c>
      <c r="B30" s="26">
        <v>20000</v>
      </c>
      <c r="C30" s="19">
        <v>0</v>
      </c>
      <c r="D30" s="19">
        <v>0</v>
      </c>
      <c r="E30" s="19">
        <f t="shared" ref="E30" si="12">+C30+D30</f>
        <v>0</v>
      </c>
      <c r="F30" s="19">
        <f t="shared" ref="F30" si="13">+B30-E30</f>
        <v>20000</v>
      </c>
      <c r="G30" s="19">
        <f t="shared" ref="G30" si="14">E30/B30*100</f>
        <v>0</v>
      </c>
    </row>
    <row r="31" spans="1:7" ht="20.25" customHeight="1" x14ac:dyDescent="0.65">
      <c r="A31" s="28"/>
      <c r="B31" s="20">
        <v>9759</v>
      </c>
      <c r="C31" s="21">
        <v>0</v>
      </c>
      <c r="D31" s="21">
        <v>0</v>
      </c>
      <c r="E31" s="21">
        <f t="shared" ref="E31" si="15">+C31+D31</f>
        <v>0</v>
      </c>
      <c r="F31" s="21">
        <f t="shared" ref="F31" si="16">+B31-E31</f>
        <v>9759</v>
      </c>
      <c r="G31" s="19">
        <f t="shared" ref="G31:G32" si="17">E31/B31*100</f>
        <v>0</v>
      </c>
    </row>
    <row r="32" spans="1:7" ht="21" customHeight="1" x14ac:dyDescent="0.35">
      <c r="A32" s="14" t="s">
        <v>18</v>
      </c>
      <c r="B32" s="22">
        <f>SUM(B14:B31)</f>
        <v>958920</v>
      </c>
      <c r="C32" s="22">
        <f>SUM(C14:C31)</f>
        <v>290698.98</v>
      </c>
      <c r="D32" s="22">
        <f>SUM(D14:D31)</f>
        <v>0</v>
      </c>
      <c r="E32" s="22">
        <f>SUM(E14:E31)</f>
        <v>290698.98</v>
      </c>
      <c r="F32" s="22">
        <f>SUM(F14:F31)</f>
        <v>668221.02</v>
      </c>
      <c r="G32" s="19">
        <f t="shared" si="17"/>
        <v>30.315248404455009</v>
      </c>
    </row>
    <row r="33" spans="1:6" x14ac:dyDescent="0.35">
      <c r="A33" s="9"/>
      <c r="B33" s="23"/>
      <c r="C33" s="23"/>
      <c r="D33" s="23"/>
      <c r="E33" s="24"/>
    </row>
    <row r="34" spans="1:6" x14ac:dyDescent="0.35">
      <c r="A34" s="9" t="s">
        <v>17</v>
      </c>
    </row>
    <row r="35" spans="1:6" x14ac:dyDescent="0.35">
      <c r="A35" s="6" t="s">
        <v>48</v>
      </c>
      <c r="B35" s="8"/>
    </row>
    <row r="36" spans="1:6" x14ac:dyDescent="0.35">
      <c r="A36" s="6" t="s">
        <v>47</v>
      </c>
      <c r="B36" s="8"/>
    </row>
    <row r="37" spans="1:6" x14ac:dyDescent="0.35">
      <c r="B37" s="8"/>
    </row>
    <row r="38" spans="1:6" x14ac:dyDescent="0.35">
      <c r="B38" s="8"/>
    </row>
    <row r="39" spans="1:6" x14ac:dyDescent="0.35">
      <c r="A39" s="7"/>
      <c r="B39" s="8"/>
      <c r="C39" s="7"/>
      <c r="D39" s="7"/>
      <c r="F39" s="7"/>
    </row>
    <row r="40" spans="1:6" x14ac:dyDescent="0.35">
      <c r="A40" s="6" t="s">
        <v>20</v>
      </c>
      <c r="C40" s="6" t="s">
        <v>22</v>
      </c>
      <c r="F40" s="6" t="s">
        <v>9</v>
      </c>
    </row>
    <row r="43" spans="1:6" x14ac:dyDescent="0.35">
      <c r="A43" s="7"/>
      <c r="B43" s="8"/>
      <c r="C43" s="7"/>
      <c r="D43" s="7"/>
      <c r="F43" s="7"/>
    </row>
    <row r="44" spans="1:6" x14ac:dyDescent="0.35">
      <c r="A44" s="6" t="s">
        <v>19</v>
      </c>
      <c r="B44" s="8"/>
      <c r="C44" s="6" t="s">
        <v>21</v>
      </c>
      <c r="F44" s="6" t="s">
        <v>9</v>
      </c>
    </row>
    <row r="45" spans="1:6" ht="12.75" customHeight="1" x14ac:dyDescent="0.35"/>
    <row r="46" spans="1:6" ht="12.75" customHeight="1" x14ac:dyDescent="0.35"/>
    <row r="47" spans="1:6" ht="12.75" customHeight="1" x14ac:dyDescent="0.35"/>
  </sheetData>
  <phoneticPr fontId="0" type="noConversion"/>
  <pageMargins left="0.75" right="0.75" top="1" bottom="1" header="0.5" footer="0.5"/>
  <pageSetup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23"/>
  <sheetViews>
    <sheetView workbookViewId="0">
      <selection activeCell="A3" sqref="A3"/>
    </sheetView>
  </sheetViews>
  <sheetFormatPr defaultRowHeight="12.5" x14ac:dyDescent="0.25"/>
  <cols>
    <col min="1" max="1" width="89.7265625" customWidth="1"/>
  </cols>
  <sheetData>
    <row r="1" spans="1:1" ht="13" thickTop="1" x14ac:dyDescent="0.25">
      <c r="A1" s="1"/>
    </row>
    <row r="2" spans="1:1" ht="13" x14ac:dyDescent="0.3">
      <c r="A2" s="2" t="s">
        <v>23</v>
      </c>
    </row>
    <row r="3" spans="1:1" x14ac:dyDescent="0.25">
      <c r="A3" s="3"/>
    </row>
    <row r="4" spans="1:1" x14ac:dyDescent="0.25">
      <c r="A4" s="3"/>
    </row>
    <row r="5" spans="1:1" ht="13" x14ac:dyDescent="0.3">
      <c r="A5" s="2" t="s">
        <v>26</v>
      </c>
    </row>
    <row r="6" spans="1:1" x14ac:dyDescent="0.25">
      <c r="A6" s="3"/>
    </row>
    <row r="7" spans="1:1" x14ac:dyDescent="0.25">
      <c r="A7" s="3"/>
    </row>
    <row r="8" spans="1:1" ht="37.5" x14ac:dyDescent="0.25">
      <c r="A8" s="4" t="s">
        <v>24</v>
      </c>
    </row>
    <row r="9" spans="1:1" x14ac:dyDescent="0.25">
      <c r="A9" s="4"/>
    </row>
    <row r="10" spans="1:1" ht="25" x14ac:dyDescent="0.25">
      <c r="A10" s="4" t="s">
        <v>31</v>
      </c>
    </row>
    <row r="11" spans="1:1" x14ac:dyDescent="0.25">
      <c r="A11" s="4"/>
    </row>
    <row r="12" spans="1:1" ht="37.5" x14ac:dyDescent="0.25">
      <c r="A12" s="4" t="s">
        <v>27</v>
      </c>
    </row>
    <row r="13" spans="1:1" x14ac:dyDescent="0.25">
      <c r="A13" s="4"/>
    </row>
    <row r="14" spans="1:1" ht="25" x14ac:dyDescent="0.25">
      <c r="A14" s="4" t="s">
        <v>32</v>
      </c>
    </row>
    <row r="15" spans="1:1" x14ac:dyDescent="0.25">
      <c r="A15" s="4"/>
    </row>
    <row r="16" spans="1:1" ht="37.5" x14ac:dyDescent="0.25">
      <c r="A16" s="4" t="s">
        <v>28</v>
      </c>
    </row>
    <row r="17" spans="1:1" x14ac:dyDescent="0.25">
      <c r="A17" s="4"/>
    </row>
    <row r="18" spans="1:1" ht="25" x14ac:dyDescent="0.25">
      <c r="A18" s="4" t="s">
        <v>29</v>
      </c>
    </row>
    <row r="19" spans="1:1" x14ac:dyDescent="0.25">
      <c r="A19" s="4"/>
    </row>
    <row r="20" spans="1:1" ht="25" x14ac:dyDescent="0.25">
      <c r="A20" s="4" t="s">
        <v>30</v>
      </c>
    </row>
    <row r="21" spans="1:1" x14ac:dyDescent="0.25">
      <c r="A21" s="4"/>
    </row>
    <row r="22" spans="1:1" ht="38.5" thickBot="1" x14ac:dyDescent="0.3">
      <c r="A22" s="5" t="s">
        <v>33</v>
      </c>
    </row>
    <row r="23" spans="1:1" ht="13" thickTop="1" x14ac:dyDescent="0.25"/>
  </sheetData>
  <phoneticPr fontId="0" type="noConversion"/>
  <pageMargins left="0.75" right="0.75" top="1" bottom="1" header="0.5" footer="0.5"/>
  <pageSetup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A8244AD7F81A74BB1F6BE7CC90FA8E8" ma:contentTypeVersion="13" ma:contentTypeDescription="Create a new document." ma:contentTypeScope="" ma:versionID="7d6f77824255b00d60b5779efe02c1a4">
  <xsd:schema xmlns:xsd="http://www.w3.org/2001/XMLSchema" xmlns:xs="http://www.w3.org/2001/XMLSchema" xmlns:p="http://schemas.microsoft.com/office/2006/metadata/properties" xmlns:ns3="a404bc0d-6635-4632-b9f4-ce7643015644" xmlns:ns4="7e084402-7dce-43c9-86cb-e5c53132b20e" targetNamespace="http://schemas.microsoft.com/office/2006/metadata/properties" ma:root="true" ma:fieldsID="8bdf2bfcf066f05f0e5e8ede488e2525" ns3:_="" ns4:_="">
    <xsd:import namespace="a404bc0d-6635-4632-b9f4-ce7643015644"/>
    <xsd:import namespace="7e084402-7dce-43c9-86cb-e5c53132b20e"/>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3:MediaServiceEventHashCode" minOccurs="0"/>
                <xsd:element ref="ns3:MediaServiceGenerationTime" minOccurs="0"/>
                <xsd:element ref="ns4:SharedWithUsers" minOccurs="0"/>
                <xsd:element ref="ns4:SharedWithDetails" minOccurs="0"/>
                <xsd:element ref="ns4:SharingHintHash"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04bc0d-6635-4632-b9f4-ce76430156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e084402-7dce-43c9-86cb-e5c53132b20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A51D48-D63B-452E-A9AA-B1A5739E6CA9}">
  <ds:schemaRefs>
    <ds:schemaRef ds:uri="http://purl.org/dc/terms/"/>
    <ds:schemaRef ds:uri="http://schemas.microsoft.com/office/2006/documentManagement/types"/>
    <ds:schemaRef ds:uri="http://schemas.openxmlformats.org/package/2006/metadata/core-properties"/>
    <ds:schemaRef ds:uri="http://purl.org/dc/elements/1.1/"/>
    <ds:schemaRef ds:uri="7e084402-7dce-43c9-86cb-e5c53132b20e"/>
    <ds:schemaRef ds:uri="http://schemas.microsoft.com/office/infopath/2007/PartnerControls"/>
    <ds:schemaRef ds:uri="a404bc0d-6635-4632-b9f4-ce7643015644"/>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6FF56D2B-5289-47AB-834B-098BFAF478E9}">
  <ds:schemaRefs>
    <ds:schemaRef ds:uri="http://schemas.microsoft.com/sharepoint/v3/contenttype/forms"/>
  </ds:schemaRefs>
</ds:datastoreItem>
</file>

<file path=customXml/itemProps3.xml><?xml version="1.0" encoding="utf-8"?>
<ds:datastoreItem xmlns:ds="http://schemas.openxmlformats.org/officeDocument/2006/customXml" ds:itemID="{B04C50D2-B47C-4958-AB26-F8DFDC4758E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04bc0d-6635-4632-b9f4-ce7643015644"/>
    <ds:schemaRef ds:uri="7e084402-7dce-43c9-86cb-e5c53132b2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1e34cb8-3a56-4fd5-a259-4acadab6e4ac}" enabled="0" method="" siteId="{71e34cb8-3a56-4fd5-a259-4acadab6e4a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Expenditure</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Zandueta, Lilibeth</dc:creator>
  <cp:lastModifiedBy>Young, Damon</cp:lastModifiedBy>
  <cp:lastPrinted>2013-06-18T14:32:12Z</cp:lastPrinted>
  <dcterms:created xsi:type="dcterms:W3CDTF">2003-09-26T14:07:04Z</dcterms:created>
  <dcterms:modified xsi:type="dcterms:W3CDTF">2026-02-09T14:31:46Z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3" name="_NewReviewCycle">
    <vt:lpwstr/>
  </property>
  <property fmtid="{D5CDD505-2E9C-101B-9397-08002B2CF9AE}" pid="9" name="ContentTypeId">
    <vt:lpwstr>0x010100BA8244AD7F81A74BB1F6BE7CC90FA8E8</vt:lpwstr>
  </property>
</Properties>
</file>